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Cost Breakdown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AWS Price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0"/>
    </font>
    <font/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1F4E78"/>
      <sz val="16"/>
    </font>
    <font>
      <name val="Calibri"/>
      <b val="1"/>
      <color rgb="001F4E78"/>
      <sz val="11"/>
    </font>
    <font>
      <name val="Calibri"/>
      <b val="1"/>
      <color rgb="00006100"/>
      <sz val="12"/>
    </font>
    <font>
      <name val="Calibri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7" fillId="4" borderId="1" pivotButton="0" quotePrefix="0" xfId="0"/>
    <xf numFmtId="164" fontId="7" fillId="4" borderId="1" pivotButton="0" quotePrefix="0" xfId="0"/>
    <xf numFmtId="0" fontId="8" fillId="0" borderId="0" pivotButton="0" quotePrefix="0" xfId="0"/>
    <xf numFmtId="0" fontId="6" fillId="0" borderId="1" pivotButton="0" quotePrefix="0" xfId="0"/>
    <xf numFmtId="10" fontId="0" fillId="0" borderId="1" pivotButton="0" quotePrefix="0" xfId="0"/>
    <xf numFmtId="0" fontId="9" fillId="5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1" t="inlineStr">
        <is>
          <t>AWS COST ESTIMATION - ASSUMPTIONS</t>
        </is>
      </c>
    </row>
    <row r="2">
      <c r="A2" s="2" t="inlineStr">
        <is>
          <t>Generated: 2026-04-15 00:22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Notes &amp; Definition</t>
        </is>
      </c>
    </row>
    <row r="5">
      <c r="A5" s="4" t="inlineStr">
        <is>
          <t>Region</t>
        </is>
      </c>
      <c r="B5" s="5" t="inlineStr">
        <is>
          <t>us-west-2</t>
        </is>
      </c>
      <c r="C5" s="5" t="inlineStr">
        <is>
          <t>AWS region for all services (US West Oregon)</t>
        </is>
      </c>
    </row>
    <row r="6">
      <c r="A6" s="4" t="inlineStr">
        <is>
          <t>Environment</t>
        </is>
      </c>
      <c r="B6" s="5" t="inlineStr">
        <is>
          <t>Production</t>
        </is>
      </c>
      <c r="C6" s="5" t="inlineStr">
        <is>
          <t>Deployment environment tier</t>
        </is>
      </c>
    </row>
    <row r="7">
      <c r="A7" s="6" t="inlineStr"/>
      <c r="B7" s="5" t="inlineStr"/>
      <c r="C7" s="5" t="inlineStr"/>
    </row>
    <row r="8">
      <c r="A8" s="7" t="inlineStr">
        <is>
          <t>DEPLOYMENT PARAMETERS</t>
        </is>
      </c>
      <c r="B8" s="5" t="inlineStr"/>
      <c r="C8" s="5" t="inlineStr">
        <is>
          <t>Core infrastructure configuration</t>
        </is>
      </c>
    </row>
    <row r="9">
      <c r="A9" s="4" t="inlineStr">
        <is>
          <t>Backend Tasks (Desired)</t>
        </is>
      </c>
      <c r="B9" s="5" t="n">
        <v>2</v>
      </c>
      <c r="C9" s="5" t="inlineStr">
        <is>
          <t>Baseline number of ECS tasks running (autoscales 1-10)</t>
        </is>
      </c>
    </row>
    <row r="10">
      <c r="A10" s="4" t="inlineStr">
        <is>
          <t>Backend Tasks (Min/Max)</t>
        </is>
      </c>
      <c r="B10" s="5" t="inlineStr">
        <is>
          <t>1 / 10</t>
        </is>
      </c>
      <c r="C10" s="5" t="inlineStr">
        <is>
          <t>Auto-scaling range for backend containers</t>
        </is>
      </c>
    </row>
    <row r="11">
      <c r="A11" s="4" t="inlineStr">
        <is>
          <t>Frontend Tasks (Desired)</t>
        </is>
      </c>
      <c r="B11" s="5" t="n">
        <v>2</v>
      </c>
      <c r="C11" s="5" t="inlineStr">
        <is>
          <t>Baseline number of frontend tasks (autoscales 1-5)</t>
        </is>
      </c>
    </row>
    <row r="12">
      <c r="A12" s="4" t="inlineStr">
        <is>
          <t>Frontend Tasks (Min/Max)</t>
        </is>
      </c>
      <c r="B12" s="5" t="inlineStr">
        <is>
          <t>1 / 5</t>
        </is>
      </c>
      <c r="C12" s="5" t="inlineStr">
        <is>
          <t>Auto-scaling range for frontend containers</t>
        </is>
      </c>
    </row>
    <row r="13">
      <c r="A13" s="6" t="inlineStr"/>
      <c r="B13" s="5" t="inlineStr"/>
      <c r="C13" s="5" t="inlineStr"/>
    </row>
    <row r="14">
      <c r="A14" s="7" t="inlineStr">
        <is>
          <t>MACHINE LEARNING SERVICES</t>
        </is>
      </c>
      <c r="B14" s="5" t="inlineStr"/>
      <c r="C14" s="5" t="inlineStr">
        <is>
          <t>AI/ML inference capabilities</t>
        </is>
      </c>
    </row>
    <row r="15">
      <c r="A15" s="4" t="inlineStr">
        <is>
          <t>SageMaker Endpoint Enabled</t>
        </is>
      </c>
      <c r="B15" s="5" t="inlineStr">
        <is>
          <t>Yes</t>
        </is>
      </c>
      <c r="C15" s="5" t="inlineStr">
        <is>
          <t>Real-time ML inference endpoint for multimodal images</t>
        </is>
      </c>
    </row>
    <row r="16">
      <c r="A16" s="4" t="inlineStr">
        <is>
          <t>SageMaker Instance Type</t>
        </is>
      </c>
      <c r="B16" s="5" t="inlineStr">
        <is>
          <t>ml.g4dn.xlarge</t>
        </is>
      </c>
      <c r="C16" s="5" t="inlineStr">
        <is>
          <t>GPU-accelerated instance (1x NVIDIA T4 GPU, 4 vCPU, 16GB RAM)</t>
        </is>
      </c>
    </row>
    <row r="17">
      <c r="A17" s="4" t="inlineStr">
        <is>
          <t>SageMaker Initial Instances</t>
        </is>
      </c>
      <c r="B17" s="5" t="n">
        <v>1</v>
      </c>
      <c r="C17" s="5" t="inlineStr">
        <is>
          <t>Starting instance count (autoscales 1-3)</t>
        </is>
      </c>
    </row>
    <row r="18">
      <c r="A18" s="4" t="inlineStr">
        <is>
          <t>SageMaker Auto-scaling (Min/Max)</t>
        </is>
      </c>
      <c r="B18" s="5" t="inlineStr">
        <is>
          <t>1 / 3</t>
        </is>
      </c>
      <c r="C18" s="5" t="inlineStr">
        <is>
          <t>Auto-scaling range based on invocations per instance (target: 2)</t>
        </is>
      </c>
    </row>
    <row r="19">
      <c r="A19" s="6" t="inlineStr"/>
      <c r="B19" s="5" t="inlineStr"/>
      <c r="C19" s="5" t="inlineStr"/>
    </row>
    <row r="20">
      <c r="A20" s="7" t="inlineStr">
        <is>
          <t>DATABASE &amp; STORAGE</t>
        </is>
      </c>
      <c r="B20" s="5" t="inlineStr"/>
      <c r="C20" s="5" t="inlineStr">
        <is>
          <t>Data persistence and history tracking</t>
        </is>
      </c>
    </row>
    <row r="21">
      <c r="A21" s="4" t="inlineStr">
        <is>
          <t>DynamoDB - Chat Sessions</t>
        </is>
      </c>
      <c r="B21" s="5" t="inlineStr">
        <is>
          <t>Enabled</t>
        </is>
      </c>
      <c r="C21" s="5" t="inlineStr">
        <is>
          <t>Table for user chat session management (On-demand pricing)</t>
        </is>
      </c>
    </row>
    <row r="22">
      <c r="A22" s="4" t="inlineStr">
        <is>
          <t>DynamoDB - Chat Messages</t>
        </is>
      </c>
      <c r="B22" s="5" t="inlineStr">
        <is>
          <t>Enabled</t>
        </is>
      </c>
      <c r="C22" s="5" t="inlineStr">
        <is>
          <t>Table for conversation message history (On-demand pricing)</t>
        </is>
      </c>
    </row>
    <row r="23">
      <c r="A23" s="4" t="inlineStr">
        <is>
          <t>DynamoDB - User Profiles</t>
        </is>
      </c>
      <c r="B23" s="5" t="inlineStr">
        <is>
          <t>Optional</t>
        </is>
      </c>
      <c r="C23" s="5" t="inlineStr">
        <is>
          <t>User account and profile data (if external table provided)</t>
        </is>
      </c>
    </row>
    <row r="24">
      <c r="A24" s="4" t="inlineStr">
        <is>
          <t>DynamoDB - Quiz Results</t>
        </is>
      </c>
      <c r="B24" s="5" t="inlineStr">
        <is>
          <t>Optional</t>
        </is>
      </c>
      <c r="C24" s="5" t="inlineStr">
        <is>
          <t>Learning assessment results storage</t>
        </is>
      </c>
    </row>
    <row r="25">
      <c r="A25" s="4" t="inlineStr">
        <is>
          <t>DynamoDB - Feedback</t>
        </is>
      </c>
      <c r="B25" s="5" t="inlineStr">
        <is>
          <t>Optional</t>
        </is>
      </c>
      <c r="C25" s="5" t="inlineStr">
        <is>
          <t>User feedback and ratings collection</t>
        </is>
      </c>
    </row>
    <row r="26">
      <c r="A26" s="4" t="inlineStr">
        <is>
          <t>DynamoDB - App Usage</t>
        </is>
      </c>
      <c r="B26" s="5" t="inlineStr">
        <is>
          <t>Optional</t>
        </is>
      </c>
      <c r="C26" s="5" t="inlineStr">
        <is>
          <t>Telemetry and usage analytics</t>
        </is>
      </c>
    </row>
    <row r="27">
      <c r="A27" s="4" t="inlineStr">
        <is>
          <t>DynamoDB - Knowledge Registry</t>
        </is>
      </c>
      <c r="B27" s="5" t="inlineStr">
        <is>
          <t>Optional</t>
        </is>
      </c>
      <c r="C27" s="5" t="inlineStr">
        <is>
          <t>Knowledge base and document metadata</t>
        </is>
      </c>
    </row>
    <row r="28">
      <c r="A28" s="6" t="inlineStr"/>
      <c r="B28" s="5" t="inlineStr"/>
      <c r="C28" s="5" t="inlineStr"/>
    </row>
    <row r="29">
      <c r="A29" s="7" t="inlineStr">
        <is>
          <t>NETWORKING &amp; SECURITY</t>
        </is>
      </c>
      <c r="B29" s="5" t="inlineStr"/>
      <c r="C29" s="5" t="inlineStr">
        <is>
          <t>Load balancing and traffic management</t>
        </is>
      </c>
    </row>
    <row r="30">
      <c r="A30" s="4" t="inlineStr">
        <is>
          <t>Application Load Balancer</t>
        </is>
      </c>
      <c r="B30" s="5" t="inlineStr">
        <is>
          <t>Yes</t>
        </is>
      </c>
      <c r="C30" s="5" t="inlineStr">
        <is>
          <t>Distributes incoming traffic across backend tasks</t>
        </is>
      </c>
    </row>
    <row r="31">
      <c r="A31" s="4" t="inlineStr">
        <is>
          <t>ALB Deletion Protection</t>
        </is>
      </c>
      <c r="B31" s="5" t="inlineStr">
        <is>
          <t>No</t>
        </is>
      </c>
      <c r="C31" s="5" t="inlineStr">
        <is>
          <t>Prevents accidental ALB deletion</t>
        </is>
      </c>
    </row>
    <row r="32">
      <c r="A32" s="4" t="inlineStr">
        <is>
          <t>HTTPS/SSL Enabled</t>
        </is>
      </c>
      <c r="B32" s="5" t="inlineStr">
        <is>
          <t>Yes</t>
        </is>
      </c>
      <c r="C32" s="5" t="inlineStr">
        <is>
          <t>ACM certificate for secure HTTPS traffic</t>
        </is>
      </c>
    </row>
    <row r="33">
      <c r="A33" s="4" t="inlineStr">
        <is>
          <t>WAF (Web Application Firewall)</t>
        </is>
      </c>
      <c r="B33" s="5" t="inlineStr">
        <is>
          <t>No</t>
        </is>
      </c>
      <c r="C33" s="5" t="inlineStr">
        <is>
          <t>DDoS and attack protection layer (can be enabled)</t>
        </is>
      </c>
    </row>
    <row r="34">
      <c r="A34" s="4" t="inlineStr">
        <is>
          <t>CloudWatch Logs Retention</t>
        </is>
      </c>
      <c r="B34" s="5" t="inlineStr">
        <is>
          <t>7 days</t>
        </is>
      </c>
      <c r="C34" s="5" t="inlineStr">
        <is>
          <t>Automatic log cleanup to control costs</t>
        </is>
      </c>
    </row>
    <row r="35">
      <c r="A35" s="6" t="inlineStr"/>
      <c r="B35" s="5" t="inlineStr"/>
      <c r="C35" s="5" t="inlineStr"/>
    </row>
    <row r="36">
      <c r="A36" s="7" t="inlineStr">
        <is>
          <t>CACHING &amp; ACCELERATION</t>
        </is>
      </c>
      <c r="B36" s="5" t="inlineStr"/>
      <c r="C36" s="5" t="inlineStr">
        <is>
          <t>Performance optimization services</t>
        </is>
      </c>
    </row>
    <row r="37">
      <c r="A37" s="4" t="inlineStr">
        <is>
          <t>ElastiCache Serverless</t>
        </is>
      </c>
      <c r="B37" s="5" t="inlineStr">
        <is>
          <t>Yes</t>
        </is>
      </c>
      <c r="C37" s="5" t="inlineStr">
        <is>
          <t>Redis cache for search results and session caching</t>
        </is>
      </c>
    </row>
    <row r="38">
      <c r="A38" s="4" t="inlineStr">
        <is>
          <t>Cache Engine</t>
        </is>
      </c>
      <c r="B38" s="5" t="inlineStr">
        <is>
          <t>Redis</t>
        </is>
      </c>
      <c r="C38" s="5" t="inlineStr">
        <is>
          <t>In-memory data store for fast retrieval</t>
        </is>
      </c>
    </row>
    <row r="39">
      <c r="A39" s="4" t="inlineStr">
        <is>
          <t>Cache TTL</t>
        </is>
      </c>
      <c r="B39" s="5" t="inlineStr">
        <is>
          <t>600 seconds</t>
        </is>
      </c>
      <c r="C39" s="5" t="inlineStr">
        <is>
          <t>Cache entry lifetime (10 minutes)</t>
        </is>
      </c>
    </row>
    <row r="40">
      <c r="A40" s="6" t="inlineStr"/>
      <c r="B40" s="5" t="inlineStr"/>
      <c r="C40" s="5" t="inlineStr"/>
    </row>
    <row r="41">
      <c r="A41" s="7" t="inlineStr">
        <is>
          <t>CONTAINER REGISTRY</t>
        </is>
      </c>
      <c r="B41" s="5" t="inlineStr"/>
      <c r="C41" s="5" t="inlineStr">
        <is>
          <t>Docker image storage and management</t>
        </is>
      </c>
    </row>
    <row r="42">
      <c r="A42" s="4" t="inlineStr">
        <is>
          <t>ECR Repositories</t>
        </is>
      </c>
      <c r="B42" s="5" t="inlineStr">
        <is>
          <t>3</t>
        </is>
      </c>
      <c r="C42" s="5" t="inlineStr">
        <is>
          <t>SageMaker unified image + AgentCore runtime + app images</t>
        </is>
      </c>
    </row>
    <row r="43">
      <c r="A43" s="4" t="inlineStr">
        <is>
          <t>Monthly Image Storage</t>
        </is>
      </c>
      <c r="B43" s="5" t="inlineStr">
        <is>
          <t>Varies</t>
        </is>
      </c>
      <c r="C43" s="5" t="inlineStr">
        <is>
          <t>Charged per GB-month stored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>
      <c r="A1" s="1" t="inlineStr">
        <is>
          <t>MONTHLY COST BREAKDOWN BY SERVICE</t>
        </is>
      </c>
    </row>
    <row r="3">
      <c r="A3" s="8" t="inlineStr">
        <is>
          <t>Service Name</t>
        </is>
      </c>
      <c r="B3" s="8" t="inlineStr">
        <is>
          <t>Unit Price</t>
        </is>
      </c>
      <c r="C3" s="8" t="inlineStr">
        <is>
          <t>Monthly Usage</t>
        </is>
      </c>
      <c r="D3" s="8" t="inlineStr">
        <is>
          <t>Cost per Unit</t>
        </is>
      </c>
      <c r="E3" s="8" t="inlineStr">
        <is>
          <t>Monthly Cost</t>
        </is>
      </c>
      <c r="F3" s="8" t="inlineStr">
        <is>
          <t>Annual Cost</t>
        </is>
      </c>
    </row>
    <row r="4">
      <c r="A4" s="9" t="inlineStr">
        <is>
          <t>COMPUTE - ECS FARGATE</t>
        </is>
      </c>
    </row>
    <row r="5">
      <c r="A5" s="10" t="inlineStr">
        <is>
          <t>Backend Containers</t>
        </is>
      </c>
      <c r="B5" s="10" t="inlineStr">
        <is>
          <t>$0.04048</t>
        </is>
      </c>
      <c r="C5" s="10" t="n">
        <v>1460</v>
      </c>
      <c r="D5" s="10" t="inlineStr">
        <is>
          <t>per vCPU-hour</t>
        </is>
      </c>
      <c r="E5" s="11" t="n">
        <v>59.1008</v>
      </c>
      <c r="F5" s="11" t="n">
        <v>709.2096</v>
      </c>
    </row>
    <row r="6">
      <c r="A6" s="10" t="inlineStr">
        <is>
          <t>Backend Memory</t>
        </is>
      </c>
      <c r="B6" s="10" t="inlineStr">
        <is>
          <t>$0.00445</t>
        </is>
      </c>
      <c r="C6" s="10" t="n">
        <v>2920</v>
      </c>
      <c r="D6" s="10" t="inlineStr">
        <is>
          <t>per GB-hour</t>
        </is>
      </c>
      <c r="E6" s="11" t="n">
        <v>12.994</v>
      </c>
      <c r="F6" s="11" t="n">
        <v>155.928</v>
      </c>
    </row>
    <row r="7">
      <c r="A7" s="10" t="inlineStr">
        <is>
          <t>Frontend Containers</t>
        </is>
      </c>
      <c r="B7" s="10" t="inlineStr">
        <is>
          <t>$0.04048</t>
        </is>
      </c>
      <c r="C7" s="10" t="n">
        <v>730</v>
      </c>
      <c r="D7" s="10" t="inlineStr">
        <is>
          <t>per vCPU-hour</t>
        </is>
      </c>
      <c r="E7" s="11" t="n">
        <v>29.5504</v>
      </c>
      <c r="F7" s="11" t="n">
        <v>354.6048</v>
      </c>
    </row>
    <row r="8">
      <c r="A8" s="10" t="inlineStr">
        <is>
          <t>Frontend Memory</t>
        </is>
      </c>
      <c r="B8" s="10" t="inlineStr">
        <is>
          <t>$0.00445</t>
        </is>
      </c>
      <c r="C8" s="10" t="n">
        <v>1460</v>
      </c>
      <c r="D8" s="10" t="inlineStr">
        <is>
          <t>per GB-hour</t>
        </is>
      </c>
      <c r="E8" s="11" t="n">
        <v>6.497</v>
      </c>
      <c r="F8" s="11" t="n">
        <v>77.964</v>
      </c>
    </row>
    <row r="10">
      <c r="A10" s="9" t="inlineStr">
        <is>
          <t>MACHINE LEARNING - SAGEMAKER</t>
        </is>
      </c>
    </row>
    <row r="11">
      <c r="A11" s="10" t="inlineStr">
        <is>
          <t>Inference - ml.g4dn.xlarge</t>
        </is>
      </c>
      <c r="B11" s="10" t="inlineStr">
        <is>
          <t>$1.215</t>
        </is>
      </c>
      <c r="C11" s="10" t="n">
        <v>730</v>
      </c>
      <c r="D11" s="10" t="inlineStr">
        <is>
          <t>per instance-hour</t>
        </is>
      </c>
      <c r="E11" s="11" t="n">
        <v>886.95</v>
      </c>
      <c r="F11" s="11" t="n">
        <v>10643.4</v>
      </c>
    </row>
    <row r="13">
      <c r="A13" s="9" t="inlineStr">
        <is>
          <t>DATABASE - DYNAMODB (On-Demand)</t>
        </is>
      </c>
    </row>
    <row r="14">
      <c r="A14" s="10" t="inlineStr">
        <is>
          <t>Chat Sessions Table - Read/Write Units</t>
        </is>
      </c>
      <c r="B14" s="10" t="inlineStr">
        <is>
          <t>$1.25 / M</t>
        </is>
      </c>
      <c r="C14" s="10" t="n">
        <v>500000</v>
      </c>
      <c r="D14" s="10" t="inlineStr">
        <is>
          <t>WCU-hour + RCU-hour</t>
        </is>
      </c>
      <c r="E14" s="11" t="n">
        <v>625</v>
      </c>
      <c r="F14" s="11" t="n">
        <v>7500</v>
      </c>
    </row>
    <row r="15">
      <c r="A15" s="10" t="inlineStr">
        <is>
          <t>Chat Messages Table - Read/Write Units</t>
        </is>
      </c>
      <c r="B15" s="10" t="inlineStr">
        <is>
          <t>$1.25 / M</t>
        </is>
      </c>
      <c r="C15" s="10" t="n">
        <v>1000000</v>
      </c>
      <c r="D15" s="10" t="inlineStr">
        <is>
          <t>WCU-hour + RCU-hour</t>
        </is>
      </c>
      <c r="E15" s="11" t="n">
        <v>1250</v>
      </c>
      <c r="F15" s="11" t="n">
        <v>15000</v>
      </c>
    </row>
    <row r="17">
      <c r="A17" s="9" t="inlineStr">
        <is>
          <t>NETWORKING</t>
        </is>
      </c>
    </row>
    <row r="18">
      <c r="A18" s="10" t="inlineStr">
        <is>
          <t>Application Load Balancer</t>
        </is>
      </c>
      <c r="B18" s="10" t="inlineStr">
        <is>
          <t>$22.50</t>
        </is>
      </c>
      <c r="C18" s="10" t="n">
        <v>1</v>
      </c>
      <c r="D18" s="10" t="inlineStr">
        <is>
          <t>per month</t>
        </is>
      </c>
      <c r="E18" s="11" t="n">
        <v>22.5</v>
      </c>
      <c r="F18" s="11" t="n">
        <v>270</v>
      </c>
    </row>
    <row r="19">
      <c r="A19" s="10" t="inlineStr">
        <is>
          <t>ALB Data Processing</t>
        </is>
      </c>
      <c r="B19" s="10" t="inlineStr">
        <is>
          <t>$0.006</t>
        </is>
      </c>
      <c r="C19" s="10" t="n">
        <v>100</v>
      </c>
      <c r="D19" s="10" t="inlineStr">
        <is>
          <t>per GB</t>
        </is>
      </c>
      <c r="E19" s="11" t="n">
        <v>0.6</v>
      </c>
      <c r="F19" s="11" t="n">
        <v>7.199999999999999</v>
      </c>
    </row>
    <row r="20">
      <c r="A20" s="10" t="inlineStr">
        <is>
          <t>NAT Gateway</t>
        </is>
      </c>
      <c r="B20" s="10" t="inlineStr">
        <is>
          <t>$32.00</t>
        </is>
      </c>
      <c r="C20" s="10" t="n">
        <v>1</v>
      </c>
      <c r="D20" s="10" t="inlineStr">
        <is>
          <t>per month</t>
        </is>
      </c>
      <c r="E20" s="11" t="n">
        <v>32</v>
      </c>
      <c r="F20" s="11" t="n">
        <v>384</v>
      </c>
    </row>
    <row r="22">
      <c r="A22" s="9" t="inlineStr">
        <is>
          <t>CACHING - ELASTICACHE SERVERLESS</t>
        </is>
      </c>
    </row>
    <row r="23">
      <c r="A23" s="10" t="inlineStr">
        <is>
          <t>ElastiCache Redis</t>
        </is>
      </c>
      <c r="B23" s="10" t="inlineStr">
        <is>
          <t>$0.264</t>
        </is>
      </c>
      <c r="C23" s="10" t="n">
        <v>730</v>
      </c>
      <c r="D23" s="10" t="inlineStr">
        <is>
          <t>per GB-hour</t>
        </is>
      </c>
      <c r="E23" s="11" t="n">
        <v>192.72</v>
      </c>
      <c r="F23" s="11" t="n">
        <v>2312.64</v>
      </c>
    </row>
    <row r="25">
      <c r="A25" s="9" t="inlineStr">
        <is>
          <t>LOGGING &amp; MONITORING</t>
        </is>
      </c>
    </row>
    <row r="26">
      <c r="A26" s="10" t="inlineStr">
        <is>
          <t>CloudWatch Logs Ingestion</t>
        </is>
      </c>
      <c r="B26" s="10" t="inlineStr">
        <is>
          <t>$0.50</t>
        </is>
      </c>
      <c r="C26" s="10" t="n">
        <v>50</v>
      </c>
      <c r="D26" s="10" t="inlineStr">
        <is>
          <t>per GB ingested</t>
        </is>
      </c>
      <c r="E26" s="11" t="n">
        <v>25</v>
      </c>
      <c r="F26" s="11" t="n">
        <v>300</v>
      </c>
    </row>
    <row r="27">
      <c r="A27" s="10" t="inlineStr">
        <is>
          <t>CloudWatch Logs Storage</t>
        </is>
      </c>
      <c r="B27" s="10" t="inlineStr">
        <is>
          <t>$0.03</t>
        </is>
      </c>
      <c r="C27" s="10" t="n">
        <v>350</v>
      </c>
      <c r="D27" s="10" t="inlineStr">
        <is>
          <t>per GB-month</t>
        </is>
      </c>
      <c r="E27" s="11" t="n">
        <v>10.5</v>
      </c>
      <c r="F27" s="11" t="n">
        <v>126</v>
      </c>
    </row>
    <row r="29">
      <c r="A29" s="9" t="inlineStr">
        <is>
          <t>CONTAINER REGISTRY</t>
        </is>
      </c>
    </row>
    <row r="30">
      <c r="A30" s="10" t="inlineStr">
        <is>
          <t>ECR Storage</t>
        </is>
      </c>
      <c r="B30" s="10" t="inlineStr">
        <is>
          <t>$0.10</t>
        </is>
      </c>
      <c r="C30" s="10" t="n">
        <v>50</v>
      </c>
      <c r="D30" s="10" t="inlineStr">
        <is>
          <t>per GB-month</t>
        </is>
      </c>
      <c r="E30" s="11" t="n">
        <v>5</v>
      </c>
      <c r="F30" s="11" t="n">
        <v>60</v>
      </c>
    </row>
    <row r="31">
      <c r="A31" s="10" t="inlineStr">
        <is>
          <t>ECR Data Transfer Out</t>
        </is>
      </c>
      <c r="B31" s="10" t="inlineStr">
        <is>
          <t>$0.02</t>
        </is>
      </c>
      <c r="C31" s="10" t="n">
        <v>200</v>
      </c>
      <c r="D31" s="10" t="inlineStr">
        <is>
          <t>per GB</t>
        </is>
      </c>
      <c r="E31" s="11" t="n">
        <v>4</v>
      </c>
      <c r="F31" s="11" t="n">
        <v>48</v>
      </c>
    </row>
    <row r="33">
      <c r="A33" s="9" t="inlineStr">
        <is>
          <t>SECURITY &amp; SSL</t>
        </is>
      </c>
    </row>
    <row r="34">
      <c r="A34" s="10" t="inlineStr">
        <is>
          <t>WAF (Optional)</t>
        </is>
      </c>
      <c r="B34" s="10" t="inlineStr">
        <is>
          <t>N/A</t>
        </is>
      </c>
      <c r="C34" s="10" t="n">
        <v>0</v>
      </c>
      <c r="D34" s="10" t="inlineStr">
        <is>
          <t>per rule</t>
        </is>
      </c>
      <c r="E34" s="11" t="n">
        <v>0</v>
      </c>
      <c r="F34" s="11" t="n">
        <v>0</v>
      </c>
    </row>
    <row r="35">
      <c r="A35" s="10" t="inlineStr">
        <is>
          <t>Certificate Manager</t>
        </is>
      </c>
      <c r="B35" s="10" t="inlineStr">
        <is>
          <t>Free</t>
        </is>
      </c>
      <c r="C35" s="10" t="inlineStr">
        <is>
          <t>Unlimited</t>
        </is>
      </c>
      <c r="D35" s="10" t="inlineStr">
        <is>
          <t>per AWS account</t>
        </is>
      </c>
      <c r="E35" s="11" t="n">
        <v>0</v>
      </c>
      <c r="F35" s="11" t="n">
        <v>0</v>
      </c>
    </row>
    <row r="38">
      <c r="A38" s="12" t="inlineStr">
        <is>
          <t>TOTAL MONTHLY COST</t>
        </is>
      </c>
      <c r="E38" s="13">
        <f>SUM(E4:E36)</f>
        <v/>
      </c>
      <c r="F38" s="13">
        <f>SUM(F4:F36)</f>
        <v/>
      </c>
    </row>
  </sheetData>
  <mergeCells count="9">
    <mergeCell ref="A33:F33"/>
    <mergeCell ref="A10:F10"/>
    <mergeCell ref="A13:F13"/>
    <mergeCell ref="A1:F1"/>
    <mergeCell ref="A22:F22"/>
    <mergeCell ref="A17:F17"/>
    <mergeCell ref="A4:F4"/>
    <mergeCell ref="A29:F2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4" t="inlineStr">
        <is>
          <t>EXECUTIVE COST SUMMARY</t>
        </is>
      </c>
    </row>
    <row r="2">
      <c r="A2" s="2" t="inlineStr">
        <is>
          <t>As of April 15, 2026</t>
        </is>
      </c>
    </row>
    <row r="4">
      <c r="A4" s="15" t="inlineStr">
        <is>
          <t>Monthly Estimate</t>
        </is>
      </c>
      <c r="B4" s="16">
        <f>SUM('Monthly Cost Breakdown'!E4:E{})</f>
        <v/>
      </c>
      <c r="C4" t="inlineStr"/>
    </row>
    <row r="5">
      <c r="A5" s="15" t="inlineStr">
        <is>
          <t>Annual Estimate</t>
        </is>
      </c>
      <c r="B5" s="16">
        <f>SUM('Monthly Cost Breakdown'!F4:F{})</f>
        <v/>
      </c>
      <c r="C5" t="inlineStr"/>
    </row>
    <row r="6">
      <c r="A6" s="15" t="inlineStr">
        <is>
          <t>Daily Average Cost</t>
        </is>
      </c>
      <c r="B6" s="16">
        <f>'Summary Dashboard'!B5/30</f>
        <v/>
      </c>
      <c r="C6" t="inlineStr"/>
    </row>
    <row r="8">
      <c r="A8" s="17" t="n"/>
    </row>
    <row r="9">
      <c r="A9" s="15" t="inlineStr">
        <is>
          <t>Compute (ECS)</t>
        </is>
      </c>
      <c r="B9" s="16" t="inlineStr">
        <is>
          <t>Estimated 35-40% of total</t>
        </is>
      </c>
      <c r="C9" t="inlineStr"/>
    </row>
    <row r="10">
      <c r="A10" s="15" t="inlineStr">
        <is>
          <t>Machine Learning (SageMaker)</t>
        </is>
      </c>
      <c r="B10" s="16" t="inlineStr">
        <is>
          <t>Estimated 25-30% of total</t>
        </is>
      </c>
      <c r="C10" t="inlineStr"/>
    </row>
    <row r="11">
      <c r="A11" s="15" t="inlineStr">
        <is>
          <t>Database (DynamoDB)</t>
        </is>
      </c>
      <c r="B11" s="16" t="inlineStr">
        <is>
          <t>Estimated 10-15% of total</t>
        </is>
      </c>
      <c r="C11" t="inlineStr"/>
    </row>
    <row r="12">
      <c r="A12" s="15" t="inlineStr">
        <is>
          <t>Networking &amp; Caching</t>
        </is>
      </c>
      <c r="B12" s="16" t="inlineStr">
        <is>
          <t>Estimated 10-15% of total</t>
        </is>
      </c>
      <c r="C12" t="inlineStr"/>
    </row>
    <row r="13">
      <c r="A13" s="15" t="inlineStr">
        <is>
          <t>Logging &amp; Other</t>
        </is>
      </c>
      <c r="B13" s="16" t="inlineStr">
        <is>
          <t>Estimated 5-10% of total</t>
        </is>
      </c>
      <c r="C13" t="inlineStr"/>
    </row>
    <row r="16">
      <c r="A16" s="18" t="inlineStr">
        <is>
          <t>COST OPTIMIZATION RECOMMENDATIONS</t>
        </is>
      </c>
    </row>
    <row r="17">
      <c r="A17" s="19" t="inlineStr">
        <is>
          <t>1. Use Reserved Instances (1-3 years) for SageMaker to reduce costs by 30-50%</t>
        </is>
      </c>
    </row>
    <row r="18">
      <c r="A18" s="19" t="inlineStr">
        <is>
          <t>2. Implement DynamoDB reserved capacity for predictable workloads</t>
        </is>
      </c>
    </row>
    <row r="19">
      <c r="A19" s="19" t="inlineStr">
        <is>
          <t>3. Enable S3 bucket lifecycle policies to archive old logs</t>
        </is>
      </c>
    </row>
    <row r="20">
      <c r="A20" s="19" t="inlineStr">
        <is>
          <t>4. Consider Compute Savings Plans for ECS Fargate</t>
        </is>
      </c>
    </row>
    <row r="21">
      <c r="A21" s="19" t="inlineStr">
        <is>
          <t>5. Monitor CloudWatch costs and adjust log retention if needed</t>
        </is>
      </c>
    </row>
    <row r="22">
      <c r="A22" s="19" t="inlineStr">
        <is>
          <t>6. Use AWS Cost Explorer to track actual spending vs. estimates</t>
        </is>
      </c>
    </row>
  </sheetData>
  <mergeCells count="9">
    <mergeCell ref="A19:C19"/>
    <mergeCell ref="A1:C1"/>
    <mergeCell ref="A8:C8"/>
    <mergeCell ref="A22:C22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</cols>
  <sheetData>
    <row r="1">
      <c r="A1" s="1" t="inlineStr">
        <is>
          <t>AWS PRICING REFERENCE (as of 2026)</t>
        </is>
      </c>
    </row>
    <row r="2">
      <c r="A2" s="20" t="inlineStr">
        <is>
          <t>Note: Prices are approximate for us-west-2 and vary by region. Visit aws.amazon.com for current rates.</t>
        </is>
      </c>
    </row>
    <row r="4">
      <c r="A4" s="3" t="inlineStr">
        <is>
          <t>Service &amp; Metric</t>
        </is>
      </c>
      <c r="B4" s="3" t="inlineStr">
        <is>
          <t>Pricing</t>
        </is>
      </c>
      <c r="C4" s="3" t="inlineStr">
        <is>
          <t>Notes &amp; Calculations</t>
        </is>
      </c>
    </row>
    <row r="5">
      <c r="A5" s="9" t="inlineStr">
        <is>
          <t>ECS FARGATE PRICING</t>
        </is>
      </c>
    </row>
    <row r="6">
      <c r="A6" s="5" t="inlineStr">
        <is>
          <t>vCPU</t>
        </is>
      </c>
      <c r="B6" s="5" t="inlineStr">
        <is>
          <t>$0.04048/hour</t>
        </is>
      </c>
      <c r="C6" s="5" t="inlineStr">
        <is>
          <t>Charged for compute capacity (per vCPU)</t>
        </is>
      </c>
    </row>
    <row r="7">
      <c r="A7" s="5" t="inlineStr">
        <is>
          <t>Memory (GB)</t>
        </is>
      </c>
      <c r="B7" s="5" t="inlineStr">
        <is>
          <t>$0.00445/hour</t>
        </is>
      </c>
      <c r="C7" s="5" t="inlineStr">
        <is>
          <t>Charged for memory allocation</t>
        </is>
      </c>
    </row>
    <row r="8">
      <c r="A8" s="21" t="inlineStr"/>
    </row>
    <row r="9">
      <c r="A9" s="9" t="inlineStr">
        <is>
          <t>SAGEMAKER REAL-TIME ENDPOINTS</t>
        </is>
      </c>
    </row>
    <row r="10">
      <c r="A10" s="5" t="inlineStr">
        <is>
          <t>ml.g4dn.xlarge</t>
        </is>
      </c>
      <c r="B10" s="5" t="inlineStr">
        <is>
          <t>$1.215/hour</t>
        </is>
      </c>
      <c r="C10" s="5" t="inlineStr">
        <is>
          <t>GPU instance: 1x NVIDIA T4, 4 vCPU, 16GB RAM</t>
        </is>
      </c>
    </row>
    <row r="11">
      <c r="A11" s="5" t="inlineStr">
        <is>
          <t>ml.g4dn.2xlarge</t>
        </is>
      </c>
      <c r="B11" s="5" t="inlineStr">
        <is>
          <t>$2.430/hour</t>
        </is>
      </c>
      <c r="C11" s="5" t="inlineStr">
        <is>
          <t>GPU instance: 1x NVIDIA T4, 8 vCPU, 32GB RAM</t>
        </is>
      </c>
    </row>
    <row r="12">
      <c r="A12" s="21" t="inlineStr"/>
    </row>
    <row r="13">
      <c r="A13" s="5" t="inlineStr">
        <is>
          <t>DYNAMODB (On-Demand)</t>
        </is>
      </c>
      <c r="B13" s="5" t="inlineStr"/>
      <c r="C13" s="5" t="inlineStr"/>
    </row>
    <row r="14">
      <c r="A14" s="5" t="inlineStr">
        <is>
          <t>Write Capacity Unit (WCU)</t>
        </is>
      </c>
      <c r="B14" s="5" t="inlineStr">
        <is>
          <t>$1.25 per M</t>
        </is>
      </c>
      <c r="C14" s="5" t="inlineStr">
        <is>
          <t>One WCU = 1 write/sec; monthly usage billed per M units</t>
        </is>
      </c>
    </row>
    <row r="15">
      <c r="A15" s="5" t="inlineStr">
        <is>
          <t>Read Capacity Unit (RCU)</t>
        </is>
      </c>
      <c r="B15" s="5" t="inlineStr">
        <is>
          <t>$0.25 per M</t>
        </is>
      </c>
      <c r="C15" s="5" t="inlineStr">
        <is>
          <t>One RCU = 1 read/sec; monthly usage billed per M units</t>
        </is>
      </c>
    </row>
    <row r="16">
      <c r="A16" s="5" t="inlineStr">
        <is>
          <t>Data Storage</t>
        </is>
      </c>
      <c r="B16" s="5" t="inlineStr">
        <is>
          <t>$0.25/GB-month</t>
        </is>
      </c>
      <c r="C16" s="5" t="inlineStr">
        <is>
          <t>Charged per GB stored in table</t>
        </is>
      </c>
    </row>
    <row r="17">
      <c r="A17" s="21" t="inlineStr"/>
    </row>
    <row r="18">
      <c r="A18" s="9" t="inlineStr">
        <is>
          <t>ELASTICACHE SERVERLESS</t>
        </is>
      </c>
    </row>
    <row r="19">
      <c r="A19" s="5" t="inlineStr">
        <is>
          <t>Redis (On-Demand)</t>
        </is>
      </c>
      <c r="B19" s="5" t="inlineStr">
        <is>
          <t>$0.264/GB-hour</t>
        </is>
      </c>
      <c r="C19" s="5" t="inlineStr">
        <is>
          <t>Serverless pricing; no instance type selection</t>
        </is>
      </c>
    </row>
    <row r="20">
      <c r="A20" s="5" t="inlineStr">
        <is>
          <t>Data Transfer Out</t>
        </is>
      </c>
      <c r="B20" s="5" t="inlineStr">
        <is>
          <t>$0.02/GB</t>
        </is>
      </c>
      <c r="C20" s="5" t="inlineStr">
        <is>
          <t>Data transferred outside ElastiCache to internet</t>
        </is>
      </c>
    </row>
    <row r="21">
      <c r="A21" s="21" t="inlineStr"/>
    </row>
    <row r="22">
      <c r="A22" s="9" t="inlineStr">
        <is>
          <t>APPLICATION LOAD BALANCER</t>
        </is>
      </c>
    </row>
    <row r="23">
      <c r="A23" s="5" t="inlineStr">
        <is>
          <t>ALB (Monthly)</t>
        </is>
      </c>
      <c r="B23" s="5" t="inlineStr">
        <is>
          <t>$22.50</t>
        </is>
      </c>
      <c r="C23" s="5" t="inlineStr">
        <is>
          <t>Flat monthly fee per ALB</t>
        </is>
      </c>
    </row>
    <row r="24">
      <c r="A24" s="5" t="inlineStr">
        <is>
          <t>LCU (Load Balancer Capacity)</t>
        </is>
      </c>
      <c r="B24" s="5" t="inlineStr">
        <is>
          <t>$4.60/hour</t>
        </is>
      </c>
      <c r="C24" s="5" t="inlineStr">
        <is>
          <t>Additional: Processed GB, new connections, requests</t>
        </is>
      </c>
    </row>
    <row r="25">
      <c r="A25" s="5" t="inlineStr">
        <is>
          <t>Data Processing</t>
        </is>
      </c>
      <c r="B25" s="5" t="inlineStr">
        <is>
          <t>$0.006/GB</t>
        </is>
      </c>
      <c r="C25" s="5" t="inlineStr">
        <is>
          <t>Processed by ALB</t>
        </is>
      </c>
    </row>
    <row r="26">
      <c r="A26" s="21" t="inlineStr"/>
    </row>
    <row r="27">
      <c r="A27" s="9" t="inlineStr">
        <is>
          <t>CLOUDWATCH LOGS</t>
        </is>
      </c>
    </row>
    <row r="28">
      <c r="A28" s="5" t="inlineStr">
        <is>
          <t>Log Ingestion</t>
        </is>
      </c>
      <c r="B28" s="5" t="inlineStr">
        <is>
          <t>$0.50/GB</t>
        </is>
      </c>
      <c r="C28" s="5" t="inlineStr">
        <is>
          <t>Data sent to CloudWatch Logs</t>
        </is>
      </c>
    </row>
    <row r="29">
      <c r="A29" s="5" t="inlineStr">
        <is>
          <t>Log Storage</t>
        </is>
      </c>
      <c r="B29" s="5" t="inlineStr">
        <is>
          <t>$0.03/GB-month</t>
        </is>
      </c>
      <c r="C29" s="5" t="inlineStr">
        <is>
          <t>Retained logs in CloudWatch</t>
        </is>
      </c>
    </row>
    <row r="30">
      <c r="A30" s="21" t="inlineStr"/>
    </row>
    <row r="31">
      <c r="A31" s="5" t="inlineStr">
        <is>
          <t>ECR (Elastic Container Registry)</t>
        </is>
      </c>
      <c r="B31" s="5" t="inlineStr"/>
      <c r="C31" s="5" t="inlineStr"/>
    </row>
    <row r="32">
      <c r="A32" s="5" t="inlineStr">
        <is>
          <t>Storage</t>
        </is>
      </c>
      <c r="B32" s="5" t="inlineStr">
        <is>
          <t>$0.10/GB-month</t>
        </is>
      </c>
      <c r="C32" s="5" t="inlineStr">
        <is>
          <t>Private repository storage</t>
        </is>
      </c>
    </row>
    <row r="33">
      <c r="A33" s="5" t="inlineStr">
        <is>
          <t>Data Transfer Out</t>
        </is>
      </c>
      <c r="B33" s="5" t="inlineStr">
        <is>
          <t>$0.02/GB</t>
        </is>
      </c>
      <c r="C33" s="5" t="inlineStr">
        <is>
          <t>Image pulls from ECR to ECS/other</t>
        </is>
      </c>
    </row>
    <row r="34">
      <c r="A34" s="21" t="inlineStr"/>
    </row>
    <row r="35">
      <c r="A35" s="9" t="inlineStr">
        <is>
          <t>NAT GATEWAY</t>
        </is>
      </c>
    </row>
    <row r="36">
      <c r="A36" s="5" t="inlineStr">
        <is>
          <t>NAT Gateway (Per AZ)</t>
        </is>
      </c>
      <c r="B36" s="5" t="inlineStr">
        <is>
          <t>$32.00/month</t>
        </is>
      </c>
      <c r="C36" s="5" t="inlineStr">
        <is>
          <t>Per availability zone</t>
        </is>
      </c>
    </row>
    <row r="37">
      <c r="A37" s="5" t="inlineStr">
        <is>
          <t>Data Processing</t>
        </is>
      </c>
      <c r="B37" s="5" t="inlineStr">
        <is>
          <t>$0.045/GB</t>
        </is>
      </c>
      <c r="C37" s="5" t="inlineStr">
        <is>
          <t>GB processed through NAT Gateway</t>
        </is>
      </c>
    </row>
    <row r="38">
      <c r="A38" s="21" t="inlineStr"/>
    </row>
    <row r="39">
      <c r="A39" s="9" t="inlineStr">
        <is>
          <t>CERTIFICATE MANAGER (ACM)</t>
        </is>
      </c>
    </row>
    <row r="40">
      <c r="A40" s="5" t="inlineStr">
        <is>
          <t>Public Certificates</t>
        </is>
      </c>
      <c r="B40" s="5" t="inlineStr">
        <is>
          <t>Free</t>
        </is>
      </c>
      <c r="C40" s="5" t="inlineStr">
        <is>
          <t>AWS-managed SSL/TLS certificates are free</t>
        </is>
      </c>
    </row>
    <row r="41">
      <c r="A41" s="21" t="inlineStr"/>
    </row>
    <row r="42">
      <c r="A42" s="5" t="inlineStr">
        <is>
          <t>WAF (Web Application Firewall)</t>
        </is>
      </c>
      <c r="B42" s="5" t="inlineStr"/>
      <c r="C42" s="5" t="inlineStr"/>
    </row>
    <row r="43">
      <c r="A43" s="5" t="inlineStr">
        <is>
          <t>Web ACL</t>
        </is>
      </c>
      <c r="B43" s="5" t="inlineStr">
        <is>
          <t>$5.00/month</t>
        </is>
      </c>
      <c r="C43" s="5" t="inlineStr">
        <is>
          <t>Rule group charge in addition to rule fees</t>
        </is>
      </c>
    </row>
    <row r="44">
      <c r="A44" s="5" t="inlineStr">
        <is>
          <t>Managed Rule Group</t>
        </is>
      </c>
      <c r="B44" s="5" t="inlineStr">
        <is>
          <t>$1.00-$20/month</t>
        </is>
      </c>
      <c r="C44" s="5" t="inlineStr">
        <is>
          <t>Depends on rule complexity and provider</t>
        </is>
      </c>
    </row>
    <row r="45">
      <c r="A45" s="21" t="inlineStr"/>
    </row>
  </sheetData>
  <mergeCells count="9">
    <mergeCell ref="A1:C1"/>
    <mergeCell ref="A5:C5"/>
    <mergeCell ref="A22:C22"/>
    <mergeCell ref="A9:C9"/>
    <mergeCell ref="A18:C18"/>
    <mergeCell ref="A27:C27"/>
    <mergeCell ref="A39:C39"/>
    <mergeCell ref="A35:C3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2026-04-14T17:22:07Z</dcterms:created>
  <dcterms:modified xmlns:dcterms="http://purl.org/dc/terms/" xmlns:xsi="http://www.w3.org/2001/XMLSchema-instance" xsi:type="dcterms:W3CDTF">2026-04-14T17:22:07Z</dcterms:modified>
</cp:coreProperties>
</file>