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0"/>
  </bookViews>
  <sheets>
    <sheet r:id="rId1" sheetId="1" name="プロンプト"/>
    <sheet r:id="rId2" sheetId="2" name="実験データ（旧）"/>
    <sheet r:id="rId3" sheetId="3" name="実験データ（新_0813）"/>
    <sheet r:id="rId4" sheetId="4" name="Tes-A"/>
    <sheet r:id="rId5" sheetId="5" name="Tes-B"/>
    <sheet r:id="rId6" sheetId="6" name="Tes-C"/>
    <sheet r:id="rId7" sheetId="7" name="Tes-D"/>
    <sheet r:id="rId8" sheetId="8" name="Tes-E"/>
    <sheet r:id="rId9" sheetId="9" name="Tes-F"/>
    <sheet r:id="rId10" sheetId="10" name="Tes-G"/>
    <sheet r:id="rId11" sheetId="11" name="Tes-H"/>
  </sheets>
  <calcPr fullCalcOnLoad="1"/>
</workbook>
</file>

<file path=xl/sharedStrings.xml><?xml version="1.0" encoding="utf-8"?>
<sst xmlns="http://schemas.openxmlformats.org/spreadsheetml/2006/main" count="3066" uniqueCount="440">
  <si>
    <t>■担当者紹介文_評価シート（実験No：Tes-H）</t>
  </si>
  <si>
    <t>●適用プロンプト情報</t>
  </si>
  <si>
    <t>プロンプトVer.</t>
  </si>
  <si>
    <t>Rec-09</t>
  </si>
  <si>
    <t>プロンプト</t>
  </si>
  <si>
    <t>＃命令文
「# 基本ルール」「# 文章構成」から担当者紹介文を作成してください。
生成する際は、箇条書きの文章と平文の2つを生成すること。ただし、中身は同じものとしてください。
正しさと統一感があり信頼できる文章であること、また変化があり読み手のイメージを膨らませる文章であることが望ましいです。
なお、「# チェック項目」にあるすべての項目をクリアした紹介文を生成すること。
担当者紹介文を生成したのち、チェック項目に沿って出ているか、○×で答えたものも出力してください。
また、そう判断した理由も教えてください。
# 基本ルール
1. 箇条書きも平文もどちらも440字以上～470字以下で生成すること。
　ひらがな、カタカナ、漢字、英数字、記号、スペース、1回の改行をすべて1文字とし、総文字数をカウントする。
2. 紹介文の最初に、【会員様と初めて話した時に直観的に感じた印象や雰囲気は？】と絡めて「・・・な方」「・・・な印象の方」と担当者からの印象で紹介を始める。尚、初めて話した時、などの時節説明はいらない。
3. 印象や雰囲気を記述する際、「男性です」「女性です」と表現せず、「・・・方です」「・・・をお持ちです」といった表現をランダムに記載すること。
4. 箇条書きと、箇条書きを平文化した文章の2つを生成すること。
5. 箇条書きの場合、文頭は中黒「・」で統一する。
6. 平文を生成する際は、箇条書きから中黒「・」とり、自然な接続詞を用いるが、冗長にならないように簡潔に書くこと。
7. 平文生成時は一文ごとに改行すること。
8. 話し言葉を避ける。
9. 並列表現をしない。ただし、単語レベルではOK（文章レベルはNG）
10. 過剰な美化語を使用しない。
11.職業や趣味については、単なる事実の羅列ではなく、その人の価値観や人柄が伝わるように記述すること。
12.追加質問の内容はすべてテキストに含めること
13.追加質問の【担当者目線での会員様の魅力は？】の内容がテキスト内に含められなかった場合、【会員様と初めて話した時に直観的に感じた印象や雰囲気は？】の内容とまとめて記載すること。
14.仕事や業務に関して記述する際、抽象的・ビジネス評価的な言葉（尊重、尊敬、信頼、評価、印象的、優秀、リーダーシップなど）は使わず、仕事での行動や人柄を日常的な言葉で表現すること。
15. 年齢や身長といった具体的な数字はいれないこと。
16. 名前やニックネームを表記しないこと。
17. 最後の文章は、文末は「・・・ぜひお会いになってみてください」「・・・と、お話しくださいました」「・・・なお人柄にぜひ触れてみてください」「・・・な、家庭を築かれるでしょう」「・・・ことでしょう」をランダムに記載する
# 文章構成
①担当者からの印象
・顔を合わせたときに向けてくださる、優しいまなざしの笑顔が印象的な方です。
・色白でかわいらしい顔立ちの方です。やわらかい目元が印象的で穏やかな雰囲気をお持ちの方です。
・特に女性の場合：清楚で可愛らしい方です。温かな眼差しでお話しくださる空間が心地よく、自然とこちらまで笑顔にさせてくださる気遣いのできる方です。
・特に男性の場合：爽やかな笑顔が素敵な方です。質問に対しても丁寧にお話しくださるお姿から、誠実で温和なお人柄を感じます。
②仕事
・現在は〇〇の仕事に就かれ、日々〇〇に取り組んでいらっしゃいます。
・お仕事は子供服の接客販売をされています。
③仕事のやりがい・職場関係
・職場では、仕事のご相談を受けることが多く、できる限り時間をつくって話に耳を傾けていらっしゃることからも、誠実なお人柄を感じました。
④趣味・休日の過ごし方
・ご趣味はアウトドアが多いそうですが、ご自宅では、料理をつくる機会が増え、色々な料理にチャレンジされていらっしゃいます。
⑤エピソード
・学生時代のご友人とは今でも親交があり、部活動で励んでいたバドミントンや避暑地でのキャンプなどを一緒に楽しまれるそうです。
⑥未来像
・ご結婚後は、「お互いの趣味を共有して、お相手と一緒に日常生活を楽しめる工夫をしていきたいです」と笑顔でお話しくださいました。
#チェック項目
1. 箇条書きも平文もどちらも440字以上～470字以下で生成すること。
　ひらがな、カタカナ、漢字、英数字、記号、スペース、1回の改行をすべて1文字とし、総文字数をカウントする。
2. 紹介文の最初に、【会員様と初めて話した時に直観的に感じた印象や雰囲気は？】と絡めて「・・・な方」「・・・な印象の方」と担当者からの印象で紹介を始める。尚、初めて話した時、などの時節説明はいらない。
3. 印象や雰囲気を記述する際、「男性です」「女性です」と表現せず、「・・・方です」「・・・をお持ちです」といった表現をランダムに記載すること。
4. 箇条書きと、箇条書きを平文化した文章の2つを生成すること。
5. 箇条書きの場合、文頭は中黒「・」で統一する。
6. 平文を生成する際は、箇条書きから中黒「・」とり、自然な接続詞を用いるが、冗長にならないように簡潔に書くこと。
7. 平文生成時は一文ごとに改行すること。
8. 話し言葉を避ける。
9. 並列表現をしない。ただし、単語レベルではOK（文章レベルはNG）
10. 過剰な美化語を使用しない。
11.職業や趣味については、単なる事実の羅列ではなく、その人の価値観や人柄が伝わるように記述すること。
12.追加質問の内容はすべてテキストに含めること
13.追加質問の【担当者目線での会員様の魅力は？】の内容がテキスト内に含められなかった場合、【会員様と初めて話した時に直観的に感じた印象や雰囲気は？】の内容とまとめて記載すること。
14.仕事や業務に関して記述する際、抽象的・ビジネス評価的な言葉（尊重、尊敬、信頼、評価、印象的、優秀、リーダーシップなど）は使わず、仕事での行動や人柄を日常的な言葉で表現すること。
15. 年齢や身長といった具体的な数字はいれないこと。
16. 名前やニックネームを表記しないこと。
17. 最後の文章は、文末は「・・・ぜひお会いになってみてください」「・・・と、お話しくださいました」「・・・なお人柄にぜひ触れてみてください」「・・・な、家庭を築かれるでしょう」「・・・ことでしょう」をランダムに記載する</t>
  </si>
  <si>
    <t>●チェック項目（女性サンプル）</t>
  </si>
  <si>
    <t>サンプルNo.</t>
  </si>
  <si>
    <t>F-16</t>
  </si>
  <si>
    <t>F-17</t>
  </si>
  <si>
    <t>F-18</t>
  </si>
  <si>
    <t>F-19</t>
  </si>
  <si>
    <t>F-20</t>
  </si>
  <si>
    <t>サンプル情報</t>
  </si>
  <si>
    <t>会員プロフィール</t>
  </si>
  <si>
    <t>会員番号	X018726911
性別	女性
年齢	40歳
結婚歴	未婚
子供有無	なし
身長	170cm
業種	サービス業
職業	サービス職
仕事内容	サービス業
休日	日／祝祭／不定期
学歴	大学卒業
趣味	スポーツジム ／ その他食べ歩き ／ 国内旅行 ／ DVD鑑賞 ／ 音楽鑑賞
趣味についてのこだわり	事前にガイドブックなどを見て色々調べて、当日はフリープランで行動することが好きです。
これからやってみたいこと	旅行が好きで、国内外問わず訪れてみたい所へ訪れてみたいです。
私の好きなコト、モノ	音楽鑑賞が好きです。邦楽や洋楽などをよく聴いてます。音楽を聴くことで「明日も頑張っていこう」とチカラをもらっています。
理想の結婚、夫婦、家族像	苦楽を共にする中で助け合いながら生きていける。いつまでもお互いを尊重し合える。共通の夢を1つ持つことで共に努力する。</t>
  </si>
  <si>
    <t>会員番号	X012800590
性別	女性
年齢	46歳
結婚歴	未婚
子供有無	なし
身長	162cm
業種	医療・福祉業
職業	専門職
仕事内容	看護業務
休日	不定期
学歴	短大卒業
趣味	ピアノ ／ お菓子作り ／ ウクレレ ／ 水族館めぐり ／ 食べ歩き
趣味についてのこだわり	楽器はクラシックだけでなく、ゲーム音楽やネタ曲も演奏して楽しんでいます。 お菓子は、プレゼントして喜ばれると嬉しいです
これからやってみたいこと	クラゲが好きなので、いろいろな水族館を巡りたいです
私の好きなコト、モノ	楽しいこと、笑えることが好きです！ ゲームや漫画も楽しんでいます 昔からサンリオが好きで、今も小物を使うことがあります
理想の結婚、夫婦、家族像	お互いの好きな物や楽しかったことを共有できる関係が理想です。イベントではなく、日常生活を楽しめるといいなと思います</t>
  </si>
  <si>
    <t>会員番号	X013219274
性別	女性
年齢	50歳
結婚歴	未婚
子供有無	なし
身長	163cm
業種	その他金融業
職業	サービス職
仕事内容	事務
休日	土／日／祝祭
学歴	大学卒業
趣味	食べ歩き ／ スイーツ食べ歩き ／ 温泉地めぐり ／ 神社・仏閣めぐり ／ 海外旅行
趣味についてのこだわり	美味しいご飯とお酒を楽しみながらリラックスした雰囲気の中で楽しく過ごす時間を大切にしてます。
これからやってみたいこと	旅行先で素敵な宿に泊まったり、一緒に料理もしてみたいです。
私の好きなコト、モノ	美味しいお店探し/温泉でのんびり/野球・サッカー観戦/ライブ・コンサート/お笑い/犬猫と遊ぶ/力を合わせてやり遂げる事
理想の結婚、夫婦、家族像	ありがとうやごめんねを素直に伝えられ、一緒にいて楽しさと安らぎを感じられるような関係を築いていきたいと思っています。</t>
  </si>
  <si>
    <t>会員番号	X013044256
性別	女性
年齢	52歳
結婚歴	離婚
子供有無	あり(別居／親権なし／養育費なし)
身長	158cm
業種	情報通信業
職業	事務職
仕事内容	OA事務
休日	土／日／祝祭
学歴	短大卒業
趣味	食べ歩き ／ 温泉地めぐり ／ ハイキング・トレッキング ／ 散歩 ／ その他旅行・遊ぶ
趣味についてのこだわり	美味しいお料理やスイーツに目がないです。綺麗な景色や温泉も好きですが、体を動かすのも好きです。家では漢字パズルをします。
これからやってみたいこと	色々な場所へ行って、食べ歩き･温泉･景色を楽しみたいです。
私の好きなコト、モノ	美味しいお料理やスイーツを食べる事が大好きです。綺麗な景色を見ながら温泉に浸る時間も好きです。家事全般楽しんでやります。
理想の結婚、夫婦、家族像	お互いを大切にして思いやり、寄り添う事ができる夫婦が理想です。明るく穏やかながらも共に人生を楽しめたら最高です。</t>
  </si>
  <si>
    <t>会員番号	X016117428
性別	女性
年齢	56歳
結婚歴	未婚
子供有無	なし
身長	163cm
業種	保険業
職業	管理職
仕事内容	管理職
休日	土／日／祝祭
学歴	大学卒業
趣味	犬飼育 ／ 海外旅行 ／ その他食べ歩き ／ ライブ・コンサート鑑賞 ／ スポーツジム
趣味についてのこだわり	海外旅行は毎年1,2回行きます。現地の人と触れ合ったり、生活を体験出来るような旅行が好きです。
これからやってみたいこと	海の近くに小さなセカンドハウスを購入して過ごしたいです。
私の好きなコト、モノ	愛犬と癒しの時間を過ごしたり、友人と美味しいお料理を食べに行くのが好きです。
理想の結婚、夫婦、家族像	お互いの価値観や考え方の違いを尊重しながら二人らしい関係を築いて行きたいです。</t>
  </si>
  <si>
    <t>追加質問</t>
  </si>
  <si>
    <t>【会員様と初めて話した時に直観的に感じた印象や雰囲気は？】	明るい、快活
【仕事で「好きだ」「やりがいを感じる」と話していたこと、または「担当者からの印象」は？】	レストランの現場運営、仕事の流れがわかり前向きに
【趣味や休日の過ごし方の中で、どんな時に楽しそうに話していましたか？】	平日は友人と食事・事務、休日は家でゆっくり
【会員様との会話で感じた、優しさ・思いやり・その他の印象に残ったポイントは？】	高校の時に1年間ニュージーランド留学
【結婚後の夢・続けたいこと・一緒にやりたいことなど】	気持ちをオープンに、共に助け合って行ける
【会員様が結婚生活で大事にしたいことは？】	お互いの時間も大切に
【担当者目線での会員様の魅力は？】	優しくて温厚</t>
  </si>
  <si>
    <t>【会員様と初めて話した時に直観的に感じた印象や雰囲気は？】	優しく温かい雰囲気
【仕事で「好きだ」「やりがいを感じる」と話していたこと、または「担当者からの印象」は？】	入院されていた子供達から「楽しかった」と手紙を貰うこと、元気に退院出来た時
【趣味や休日の過ごし方の中で、どんな時に楽しそうに話していましたか？】	お菓子作り、ピアノ
【会員様との会話で感じた、優しさ・思いやり・その他の印象に残ったポイントは？】	仕事が忙しい中でもわかりやすく説明することを心がけている
【結婚後の夢・続けたいこと・一緒にやりたいことなど】	
【会員様が結婚生活で大事にしたいことは？】	好きなものや楽しかったことを共有したい
【担当者目線での会員様の魅力は？】	話しやすく、居心地がいい、ユーモアがある</t>
  </si>
  <si>
    <t>【会員様と初めて話した時に直観的に感じた印象や雰囲気は？】	凛とした美しさ、終始笑顔
【仕事で「好きだ」「やりがいを感じる」と話していたこと、または「担当者からの印象」は？】	職場の人間関係に恵まれている、ストレスフリー、仕事を続けたい
【趣味や休日の過ごし方の中で、どんな時に楽しそうに話していましたか？】	アクティブ、様々なコミュニティ
【会員様との会話で感じた、優しさ・思いやり・その他の印象に残ったポイントは？】	心身共に健康を大切にしている
【結婚後の夢・続けたいこと・一緒にやりたいことなど】	美味しい食事や旅行に行きたい
【会員様が結婚生活で大事にしたいことは？】	何でも気兼ねなく話せる
【担当者目線での会員様の魅力は？】	楽観的、好奇心旺盛、穏やか、芯の強さ</t>
  </si>
  <si>
    <t>【会員様と初めて話した時に直観的に感じた印象や雰囲気は？】	明るい笑顔、優しい雰囲気
【仕事で「好きだ」「やりがいを感じる」と話していたこと、または「担当者からの印象」は？】	人との関わりを楽しむ、コミュニケーションが円滑になるように気遣う
【趣味や休日の過ごし方の中で、どんな時に楽しそうに話していましたか？】	自宅でのんびり、散歩・ハイキングでリフレッシュ
【会員様との会話で感じた、優しさ・思いやり・その他の印象に残ったポイントは？】	笑顔を絶やすことが無い
【結婚後の夢・続けたいこと・一緒にやりたいことなど】	旅行、美味しいものを一緒に
【会員様が結婚生活で大事にしたいことは？】	お互いを大切にして思いやる
【担当者目線での会員様の魅力は？】	親しみやすく、気さくな人柄</t>
  </si>
  <si>
    <t>【会員様のファーストネーム（ひらがな）】	たかはし
【会員様と初めて話した時に直観的に感じた印象や雰囲気は？】	凛としている、聡明、にこやか
【仕事で「好きだ」「やりがいを感じる」と話していたこと、または「担当者からの印象」は？】	責任も重いがそれ以上にやりがいがある
【趣味や休日の過ごし方の中で、どんな時に楽しそうに話していましたか？】	愛犬と散歩、友人、ジム、オンオフ
【会員様との会話で感じた、優しさ・思いやり・その他の印象に残ったポイントは？】	幼少期インターナショナルスクール、社会人海外転勤
【結婚後の夢・続けたいこと・一緒にやりたいことなど】	楽しいときも辛いときも一緒に笑う
【会員様が結婚生活で大事にしたいことは？】	お互いの価値観を尊重
【担当者目線での会員様の魅力は？】	柔軟で好奇心旺盛</t>
  </si>
  <si>
    <t>理想的な文章</t>
  </si>
  <si>
    <t>・明るく快活な雰囲気をお持ちの●●●様は優しく温厚な女性です。ご友人からも怒らないタイプと言われる程、穏やかな温かみをお持ち。
・お仕事はレストランの現場運営や経理などをされており、日々忙しくお過ごしです。覚えて自分なりに解釈して頑張っていくうちに、仕事の流れやサイクルが分かって前向きな気持ちが自然に出てきたと仰られます。
・高校の時には1年間のニュージーランド留学にも行かれており、英語の上達だけでなく、人見知りを直す自己向上の意味でも留学参加に挙手されたとのこと。自然に囲まれた場所での様々な経験は心に刻まれ、一緒に留学したご友人とは今でも交流がおありです。
・平日にご友人と食事されたり、ジムで水泳されたりと詰め込まれている分、休日はゆっくりと家でお過ごしでいらっしゃいます。好きな音楽を聞いたり、録画したDVDを見たりしてゆったりするのがリフレッシュとなっているとのこと。
・お相手とはお互いの時間も大切に、気持ちをオープンに、共に助け合って行けるような関係が理想と仰られます。朗らかさと気遣い、柔和な温和さがとても魅力的です。</t>
  </si>
  <si>
    <t>・清潔感があり、優しく温かい雰囲気が印象的な ●●●様。お話ししやすく、居心地の良さを感じる素敵な女性です。
・お仕事は、こども病院の看護師をなさっています。入院されていた子供たちから「面白かった」「楽しかった」とお手紙を貰うことが何よりの喜びだそう。元気に退院出来た時が一番嬉しく、遣り甲斐に繋がるとお話しくださいました。
・職場の人間関係も良好で、忙しい中でも分かりやすく説明されることを心掛けているため、後輩からも信頼され、慕われています。
・休日はお菓子作りを楽しみ、マドレーヌやクッキーなどをお裾分け。ピアノを弾いて無になれる時間も大切にされているとか。
・ご友人から「面白い」と言われるそう。ご両親が関西出身で面白く、その影響を受けていらっしゃるのかもしれません。ユーモア溢れる●●●様との会話は、きっと楽しい時間になるでしょう。
・その日あった出来事を話したり、お互いの時間を尊重し合える関係が理想。
・「何とかなる」と前向きに考えていけたらと仰る●●●様となら、明るく居心地の良いご家庭を築けるでしょう。</t>
  </si>
  <si>
    <t>・凛とした美しさが素敵な、●●●様。終始明るく、笑顔でお話しくださるご様子からは、大らかでポジティブなお人柄が窺えます。
・都内企業で責任ある立場を任され、これまでのさまざまな経験を活かしながら、縁あって今の職場でご活躍中です。職場の人間関係にも恵まれ、ストレスフリーな環境でこれからもお仕事を続けていきたいとお考えです。
・休日はアクティブに行動することがお好きで、様々なコミュニティに参加し、多くの方との交流を楽しんでいらっしゃいます。色々な方とコミュニケーションを取ることは、ご自身の学びにも繋がっているそうです。
・将来は、何でも気兼ねなく話せる、そんな温かい関係を築くことが理想。美味しい食事を共にしたり、色々な場所に旅行に出かけたり、安心できる居心地の良い空間を二人で作り上げていきたいと願っています。
・●●●様が大切にされているのは、心身ともに健康であること、そして人として誠実でありたいという気持ち。楽観的で好奇心旺盛な明るさと、穏やかながらも芯の強さを兼ね備えた、大変素敵な女性です。</t>
  </si>
  <si>
    <t>明るい笑顔と物腰柔らかな優しい雰囲気が魅力的な女性です。笑顔を絶やすことなく、丁寧にお話しくださるご様子から、親しみやすく気さくなお人柄がうかがえます。
お仕事は情報通信関連の企業にて事務職をなさっています。社内環境が良く、とても働きやすい職場なのだそう。人との関わりを楽しみながらコミュニケーションが円滑になるよう気遣っていらっしゃるご様子がうかがえ、柔軟性を持って真摯に取り組まれる姿勢がとても印象的でした。
休日は、ご自宅でのんびりすることもあればお出かけすることもあるとのこと。出かける方がリフレッシュできるとの事でお散歩やハイキング、時にはご旅行を楽しまれています。
お相手様ともご旅行等一緒にお出かけしたり、美味しいものを食べたり、何か一緒に楽しめることがあればとお話しくださいました。
将来のご家庭では、まずは何よりもコミュ二ケーションを大切にしたいとのこと。お互いの価値観を大切にしながら支え合い、何でも話し合える信頼関係を築いていきたいとのことです。</t>
  </si>
  <si>
    <t>・笑顔で丁寧にご挨拶をしてくださった、●●●様。凛とした佇まいからは聡明さを、にこやかな表情からは親しみやすさを感じます。
・外資系企業の管理職としてプロジェクトを推進する立場にあり、責任の重さを感じることもあるものの、それ以上にやりがいを感じながらお仕事を楽しまれています。その姿勢が周囲の信頼を集め、多くの方から頼りにされる理由の一つなのかもしれません。
・幼少期からインターナショナルスクールに通い、社会人になられてからは海外勤務も経験され、異なる文化や価値観に触れながら生活してこられました。その経験が、柔軟で好奇心旺盛な考え方につながっているのでしょう。
・休日は愛犬とのんびり散歩したり、ご友人との時間を楽しんだり、健康維持のためにジムに通うなど、オンとオフのメリハリを大切にされています。
・お相手とは、お互いの価値観や考え方の違いを尊重し合いながら二人らしい関係を築いていきたい、楽しい時も辛い時も一緒に笑っていたいと思えるような方が理想と仰っていました。</t>
  </si>
  <si>
    <t>生成された文章（箇条書き）</t>
  </si>
  <si>
    <t>・明るく快活な雰囲気があり、初対面でも自然と周囲を笑顔にさせてくださる方です。
・柔らかな話しぶりや、相手を気遣う穏やかな姿勢が伝わり、優しさと温厚さを感じます。
・現在はサービス業のお仕事に従事され、レストランの現場運営にも携わっています。
・仕事の流れをきちんと把握し、前向きに物事に取り組まれる姿が印象的でした。
・職場ではスタッフ同士円滑に連携し、一人ひとりの意見や気持ちに耳を傾けていらっしゃいます。
・趣味はスポーツジムや食べ歩き、国内旅行など多岐にわたり、ガイドブックで事前に調べて計画しながら、当日は自由に行動されることを楽しんでいるそうです。
・高校時代には1年間のニュージーランド留学経験があり、さまざまな価値観を受け入れる柔軟さも感じられます。
・結婚後はお互いの時間を大事にしながら、気持ちをオープンにし、助け合う関係を築いていきたいと話してくださいました。
・優しさと行動力の両方をお持ちの方に、ぜひお会いになってみてください。</t>
  </si>
  <si>
    <t>・優しく温かい空気をまとい、話しやすさとユーモアを持ち合わせていらっしゃる方です。
・自然とこちらも緊張がほぐれるような落ち着いた雰囲気で、会話の中には柔らかな親しみやすさを感じました。
・お仕事は医療・福祉業の看護業務に従事されており、日々忙しい中でも、丁寧に相手の立場に寄り添った説明を大切にされています。
・特に子どもの患者さんから「楽しかった」と手紙をもらった時や、元気に退院する姿を見ると、やりがいや喜びを感じていらっしゃいます。
・趣味はピアノやウクレレのほか、お菓子作りにも心を込めて向き合い、できあがったお菓子を大切な人へ贈ることに喜びを見出されています。
・クラシックだけでなく、ゲーム音楽やネタ曲なども演奏し、音楽を身近に楽しむ姿が印象的です。
・休日には水族館巡りや食べ歩きも好きという探究心があり、何気ない日々の楽しみを見つける達人です。
・ご結婚後は、お相手と好きなものや楽しかったことを日常で共有できる関係を築いていきたいと、お話しくださいました。</t>
  </si>
  <si>
    <t>・凛とした美しさと終始絶やさぬ笑顔が印象的で、自然と周囲をやわらかい雰囲気に包む方です。
・金融関連の事務職に就かれ、職場の人間関係に恵まれながら、肩肘張らずに仕事を続けていらっしゃいます。
・同僚との日々のやり取りを楽しみながら、ご自身らしくストレスを感じず過ごされている様子は、日常に心地よいリズムをもたらしています。
・お休みの日は、食べ歩きやスイーツ巡り、温泉地や神社・仏閣めぐりを楽しみながら、居心地のよい空間や時間を大切にされています。
・美味しい食事とお酒を囲み、リラックスした空気の中で会話を楽しむことがライフスタイルに根付いています。
・気心知れた友人や新しいコミュニティを通じて、旅行や観戦、お笑いライブなど様々な体験にご興味を向けている様子が印象的です。
・何事も気兼ねなく話し合える関係、そして楽観的で芯の通った姿勢を大事にしながら、日々の安らぎや楽しさを共に育んでいきたいとお話しくださいました。
・楽観的で好奇心旺盛な、なお人柄にぜひ触れてみてください。</t>
  </si>
  <si>
    <t>・明るい笑顔が印象的で、優しい雰囲気をお持ちの方です。
・親しみやすく、気さくな人柄が自然と周囲を和ませているように感じます。
・現在は情報通信業で事務職に就かれており、OA業務を通して人と関わることや、コミュニケーションを円滑にするための気遣いが日々のやりがいにつながっています。
・職場では、さりげない声かけや相談への対応を大切にされている様子がうかがえます。
・趣味は食べ歩きや温泉地めぐり、ハイキング、散歩、旅行など、美味しい料理やスイーツへの情熱を感じます。
・ご自宅では漢字パズルを楽しみ、家事を前向きにこなす姿勢も伺えます。
・学生時代からのご友人とも交流が続き、休日は自然豊かな場所で心身のリフレッシュを大切にされています。
・ご結婚後は「お互いを大切にし、思いやる関係を築きたい」との想いを語られ、美味しいものや旅行を共に楽しみたいとお話しくださいました。</t>
  </si>
  <si>
    <t>・凛としたたたずまいと、聡明さを感じるにこやかな表情が印象的な方です。
・柔軟で好奇心旺盛なところが、ご自身の魅力として感じられます。
・現在は保険業の管理職に就かれ、日々責任ある立場で業務にあたっていらっしゃいます。
・仕事の責任は大きいものですが、それ以上にやりがいを持って取り組まれている様子がうかがえます。
・職場では同僚の相談にのったり、適切なアドバイスをしながら、周囲から厚い信頼を寄せられているご様子です。
・趣味は愛犬との時間やスポーツジム通い、海外旅行、ライブ鑑賞など多岐にわたります。
・海外旅行では現地の人々と交流し、生活を体験することを大切にされています。
・自宅では友人と美味しい食事を楽しむひとときや、愛犬と過ごす安らぎを大切にされています。
・将来的には海の近くにセカンドハウスを持ち、自然の中で過ごす生活を描いていらっしゃいます。
・パートナーとは価値観の違いも受け入れ、お互いを尊重し合いながら、笑顔あふれる毎日を築いていきたいと、お話しくださいました。</t>
  </si>
  <si>
    <t>生成された文章（平文）</t>
  </si>
  <si>
    <t>明るく快活な雰囲気があり、初対面でも自然と周囲を笑顔にさせてくださる方です。
柔らかな話しぶりや、相手を気遣う穏やかな姿勢が伝わり、優しさと温厚さを感じます。
現在はサービス業のお仕事に従事され、レストランの現場運営にも携わっています。
仕事の流れをきちんと把握し、前向きに物事に取り組まれる姿が印象的でした。
職場ではスタッフ同士円滑に連携し、一人ひとりの意見や気持ちに耳を傾けていらっしゃいます。
趣味はスポーツジムや食べ歩き、国内旅行など多岐にわたり、ガイドブックで事前に調べて計画しながら、当日は自由に行動されることを楽しんでいるそうです。
高校時代には1年間のニュージーランド留学経験があり、さまざまな価値観を受け入れる柔軟さも感じられます。
結婚後はお互いの時間を大事にしながら、気持ちをオープンにし、助け合う関係を築いていきたいと話してくださいました。
優しさと行動力の両方をお持ちの方に、ぜひお会いになってみてください。</t>
  </si>
  <si>
    <t>優しく温かい空気をまとい、話しやすさとユーモアを持ち合わせていらっしゃる方です。
自然とこちらも緊張がほぐれるような落ち着いた雰囲気で、会話の中には柔らかな親しみやすさを感じました。
お仕事は医療・福祉業の看護業務に従事されており、日々忙しい中でも丁寧に相手の立場に寄り添った説明を大切にされています。
特に子どもの患者さんから「楽しかった」と手紙をもらった時や、元気に退院する姿を見るとやりがいや喜びを感じていらっしゃいます。
趣味はピアノやウクレレのほか、お菓子作りにも心を込めて向き合い、できあがったお菓子を大切な人へ贈ることに喜びを見出されています。
クラシックだけでなく、ゲーム音楽やネタ曲なども演奏し、音楽を身近に楽しむ姿が印象的です。
休日には水族館巡りや食べ歩きも好きという探究心があり、何気ない日々の楽しみを見つける達人です。
ご結婚後は、お相手と好きなものや楽しかったことを日常で共有できる関係を築いていきたいと、お話しくださいました。</t>
  </si>
  <si>
    <t>凛とした美しさと終始絶やさぬ笑顔が印象的で、自然と周囲をやわらかい雰囲気に包む方です。
金融関連の事務職に就かれ、職場の人間関係に恵まれながら、肩肘張らずに仕事を続けていらっしゃいます。
同僚との日々のやり取りを楽しみながら、ご自身らしくストレスを感じず過ごされている様子は、日常に心地よいリズムをもたらしています。
お休みの日は、食べ歩きやスイーツ巡り、温泉地や神社・仏閣めぐりを楽しみながら、居心地のよい空間や時間を大切にされています。
美味しい食事とお酒を囲み、リラックスした空気の中で会話を楽しむことがライフスタイルに根付いています。
気心知れた友人や新しいコミュニティを通じて、旅行や観戦、お笑いライブなど様々な体験にご興味を向けている様子が印象的です。
何事も気兼ねなく話し合える関係、そして楽観的で芯の通った姿勢を大事にしながら、日々の安らぎや楽しさを共に育んでいきたいとお話しくださいました。
楽観的で好奇心旺盛な、なお人柄にぜひ触れてみてください。</t>
  </si>
  <si>
    <t xml:space="preserve">明るい笑顔が印象的で、優しい雰囲気をお持ちの方です。
親しみやすく、気さくな人柄が自然と周囲を和ませているように感じます。
現在は情報通信業で事務職に就かれており、OA業務を通して人と関わることや、コミュニケーションを円滑にするための気遣いが日々のやりがいにつながっています。
職場では、さりげない声かけや相談への対応を大切にされている様子がうかがえます。
趣味は食べ歩きや温泉地めぐり、ハイキング、散歩、旅行など、美味しい料理やスイーツへの情熱を感じます。
ご自宅では漢字パズルを楽しみ、家事を前向きにこなす姿勢も伺えます。
学生時代からのご友人とも交流が続き、休日は自然豊かな場所で心身のリフレッシュを大切にされています。
ご結婚後は「お互いを大切にし、思いやる関係を築きたい」との想いを語られ、美味しいものや旅行を共に楽しみたいとお話しくださいました。
</t>
  </si>
  <si>
    <t>凛としたたたずまいと、聡明さがにじむにこやかな表情が印象的な方です。
柔軟で好奇心旺盛な面が随所に感じられ、その姿勢が人を惹きつけています。
保険業界の管理職として日々、責任感を持ちながらもやりがいを享受して業務に打ち込んでいらっしゃいます。
同僚の相談に耳を傾けたり、適切なアドバイスをすることで周囲から頼りにされる存在です。
愛犬と過ごす時間やスポーツジム、海外旅行、ライブ観賞などを心から楽しみ、特に海外では現地での交流や生活体験を大切にされています。
自宅では友人との食事や愛犬とのひとときを心地よく過ごされています。
今後は海辺のセカンドハウスを夢みて、自然とともに暮らすことにも関心を寄せていらっしゃいます。
パートナーとは異なる価値観も尊重し合い、共に笑顔で過ごす日々を大事にしたいと、お話しくださいました。</t>
  </si>
  <si>
    <t>チェック項目</t>
  </si>
  <si>
    <t>1. 箇条書きも平文もどちらも440字以上～470字以下で生成すること。
　ひらがな、カタカナ、漢字、英数字、記号、スペース、1回の改行をすべて1文字とし、総文字数をカウントする。
※チェックは400～450で行います。</t>
  </si>
  <si>
    <t>○</t>
  </si>
  <si>
    <t>×</t>
  </si>
  <si>
    <t>2. 紹介文の最初に、【会員様と初めて話した時に直観的に感じた印象や雰囲気は？】と絡めて「・・・な方」「・・・な印象の方」と担当者からの印象で紹介を始める。尚、初めて話した時、などの時節説明はいらない。</t>
  </si>
  <si>
    <t>3. 印象や雰囲気を記述する際、「男性です」「女性です」と表現せず、「・・・方です」「・・・をお持ちです」といった表現をランダムに記載すること。</t>
  </si>
  <si>
    <t>4. 箇条書きと、箇条書きを平文化した文章の2つを生成すること。</t>
  </si>
  <si>
    <t>5. 箇条書きの場合、文頭は中黒「・」で統一する。</t>
  </si>
  <si>
    <t>6. 平文を生成する際は、箇条書きから中黒「・」とり、自然な接続詞を用いるが、冗長にならないように簡潔に書くこと</t>
  </si>
  <si>
    <t>7. 平文生成時は一文ごとに改行すること。</t>
  </si>
  <si>
    <t>8. 話し言葉を避ける。</t>
  </si>
  <si>
    <t>9. 並列表現をしない。ただし、単語レベルではOK（文章レベルはNG）</t>
  </si>
  <si>
    <t>10. 過剰な美化語を使用しない。</t>
  </si>
  <si>
    <t>11.職業や趣味については、単なる事実の羅列ではなく、その人の価値観や人柄が伝わるように記述すること。</t>
  </si>
  <si>
    <t>12.追加質問の内容はすべてテキストに含めること</t>
  </si>
  <si>
    <t>13.追加質問の【担当者目線での会員様の魅力は？】の内容がテキスト内に含められなかった場合、【会員様と初めて話した時に直観的に感じた印象や雰囲気は？】の内容とまとめて記載すること。</t>
  </si>
  <si>
    <t>14.仕事や業務に関して記述する際、抽象的・ビジネス評価的な言葉（尊重、尊敬、信頼、評価、印象的、優秀、リーダーシップなど）は使わず、仕事での行動や人柄を日常的な言葉で表現すること。</t>
  </si>
  <si>
    <t>15. 年齢や身長といった具体的な数字はいれないこと。</t>
  </si>
  <si>
    <t>16. 名前やニックネームを表記しないこと。</t>
  </si>
  <si>
    <t>17. 最後の文章は、文末は「・・・ぜひお会いになってみてください」「・・・と、お話しくださいました」「・・・なお人柄にぜひ触れてみてください」「・・・な、家庭を築かれるでしょう」「・・・ことでしょう」をランダムに記載する</t>
  </si>
  <si>
    <t>定性評価</t>
  </si>
  <si>
    <t>A.単なる形容詞（例：優しい）だけでなく、その性格を感じさせるエピソードがある</t>
  </si>
  <si>
    <t>B.会話の様子や仕草など、リアリティある描写で「人となり」が見える</t>
  </si>
  <si>
    <t>C.その人ならではの強みや個性が紹介されている</t>
  </si>
  <si>
    <t>D.趣味や関心事が単なる列挙でなく、エピソードを通して魅力として表現されている</t>
  </si>
  <si>
    <t>E.自然体の良さが伝わる表現になっている（過剰な持ち上げや誇張がない）</t>
  </si>
  <si>
    <t>F.「どんな結婚生活を望んでいるか」が、言葉や雰囲気で伝わってくる</t>
  </si>
  <si>
    <t>G.担当者としての客観的な視点が含まれている（主観だけでなく、事実や観察がある）</t>
  </si>
  <si>
    <t>H.文章が温かく、信頼感・安心感を与えるトーンになっている</t>
  </si>
  <si>
    <t>総合点数(※自動入力)</t>
  </si>
  <si>
    <t>コメント</t>
  </si>
  <si>
    <t>文字数</t>
  </si>
  <si>
    <t>文字数（箇条書き）</t>
  </si>
  <si>
    <t>文字数（平文）</t>
  </si>
  <si>
    <t>●チェック項目（男性サンプル）</t>
  </si>
  <si>
    <t>M-16</t>
  </si>
  <si>
    <t>M-17</t>
  </si>
  <si>
    <t>M-18</t>
  </si>
  <si>
    <t>M-19</t>
  </si>
  <si>
    <t>M-20</t>
  </si>
  <si>
    <t>会員番号	Y011394079
性別	男性
年齢	45歳
結婚歴	未婚
子供有無	なし
身長	167cm
業種	銀行業
職業	営業・販売職
仕事内容	保険の営業
休日	土／日／祝祭
学歴	専門学校・各種学校卒業
趣味	スポーツジム ／ 食べ歩き ／ 家事 ／ 映画鑑賞 ／ 国内旅行
趣味についてのこだわり	街の中を散策しながら、良さそうなお店を見つけた時はとても嬉しいです。
これからやってみたいこと	神社仏閣、お城巡りなど歴史を感じるものに触れてみたいです。
私の好きなコト、モノ	ラーメン。本やYouTubeで学んだりラジオを聞くこと。散歩。部屋の整理整頓。習慣化を目標に色々と取り組んでます。
理想の結婚、夫婦、家族像	お互いの考えや価値観を共有し、家事分担や子育てなど助け合いながら成長していける、居心地の良いと思える家庭を築きたいです</t>
  </si>
  <si>
    <t xml:space="preserve">会員番号	Y016749718
性別	男性
年齢	52歳
結婚歴	未婚
子供有無	なし
身長	159cm
業種	食料品
職業	営業・販売職
仕事内容	営業職
休日	土／日／祝祭
学歴	高校卒業
趣味	国内旅行 ／ ドライブ ／ 食べ歩き ／ カフェで過ごす ／ テーマパークめぐり
趣味についてのこだわり	テレビや雑誌で見て美味しそうなお店があれば、時間を見つけて食べに行ったりします。最近はいけてないですが、ゴルフ好きです。
これからやってみたいこと	お相手と買い物やテーマパークなど一緒に行きたいです。
私の好きなコト、モノ	ドライブがてら温泉に行きます。日頃から運転しているので、安心して助手席に座ってください。 味噌ラーメン BBQ 筋トレ
理想の結婚、夫婦、家族像	一度きりしかない残りの人生を支え合いながら、寄り添って明るく楽しい家庭を作っていきたいと思っています。
</t>
  </si>
  <si>
    <t>会員番号	Y011079000
性別	男性
年齢	57歳
結婚歴	離婚
子供有無	あり(別居／親権なし／養育費あり)
身長	165cm
業種	医療・福祉業
職業	管理職
仕事内容	エコー業務、他
休日	土／日／祝祭
学歴	専門学校・各種学校卒業
趣味	ドライブ ／ 映画鑑賞 ／ 居酒屋めぐり ／ ショッピング ／ 音楽鑑賞
趣味についてのこだわり	近くの日帰り温泉も好きですが、グランピングやコテージも楽しいと思います。家で古い新しいに関わらず映画を観るのも好きです。
これからやってみたいこと	色々な場所に旅行に行き食べ飲み歩きができればと考えています。
私の好きなコト、モノ	音楽を聴きながらドライブをしたり、服や雑貨などを見て回るのも好きです。神社や仏閣なども好きでご朱印状も集めています。
理想の結婚、夫婦、家族像	楽しい時間は楽しさを共有でき、苦しい時は助け合える関係が理想です。お互いの親族と仲良くできればと思っています。</t>
  </si>
  <si>
    <t>会員番号	Y010426212
性別	男性
年齢	54歳
結婚歴	離婚
子供有無	あり(別居／親権なし／養育費あり)
身長	165cm
業種	電気機器
職業	専門職
仕事内容	エンジニア
休日	土／日／祝祭
学歴	大学卒業
趣味	居酒屋めぐり ／ ドライブ ／ 映画鑑賞 ／ 国内旅行 ／ 海外旅行
趣味についてのこだわり	居酒屋で一緒に楽しく飲む雰囲気が好きです。最近海外旅行にもはまっており、お酒や旅行に一緒に行ければ嬉しいです。
これからやってみたいこと	一緒に食事したり、出かけたり、色々な事を共有したいです。
私の好きなコト、モノ	好きな人と一緒に話したり、食事したり、ドライブしたり、旅行したり、色々な時間や経験を共有することが好きです。
理想の結婚、夫婦、家族像	お互い話したり、食事したり、出かけたり、苦労したりしつつ、一緒にいられる普通の日常が一番の幸せと思える夫婦が理想です。</t>
  </si>
  <si>
    <t>会員番号	Y019460506
性別	男性
年齢	53歳
結婚歴	離婚
子供有無	あり(別居／親権なし／養育費なし)
身長	173cm
業種	輸送用機器
職業	専門職
仕事内容	自動車のエンジン制御開発
休日	土／日
学歴	大学卒業
趣味	神社・仏閣めぐり ／ ドライブ ／ 国内旅行 ／ その他収集・コレクション・製作 ／ その他生活・資格系
趣味についてのこだわり	居酒屋で一緒に楽しく飲む雰囲気が好きです。最近海外旅行にもはまっており、お酒や旅行に一緒に行ければ嬉しいです。
これからやってみたいこと	一緒に食事したり、出かけたり、色々な事を共有したいです。
私の好きなコト、モノ	好きな人と一緒に話したり、食事したり、ドライブしたり、旅行したり、色々な時間や経験を共有することが好きです。
理想の結婚、夫婦、家族像	お互い話したり、食事したり、出かけたり、苦労したりしつつ、一緒にいられる普通の日常が一番の幸せと思える夫婦が理想です。</t>
  </si>
  <si>
    <t>【会員様と初めて話した時に直観的に感じた印象や雰囲気は？】	朗らかな笑顔、柔らかい物腰
【仕事で「好きだ」「やりがいを感じる」と話していたこと、または「担当者からの印象」は？】	お客様から色々なお話を聴けることが楽しい、刺激になる、真摯
【趣味や休日の過ごし方の中で、どんな時に楽しそうに話していましたか？】	映画館、ジム、リフレッシュ
【会員様との会話で感じた、優しさ・思いやり・その他の印象に残ったポイントは？】	一人暮らし歴長い、料理・掃除、家事は好き
【結婚後の夢・続けたいこと・一緒にやりたいことなど】	嬉しいことや楽しいこと、お互いに正直な気持ちを伝える
【会員様が結婚生活で大事にしたいことは？】	日々の会話を大切に
【担当者目線での会員様の魅力は？】	温かみがある人柄</t>
  </si>
  <si>
    <t>【会員様と初めて話した時に直観的に感じた印象や雰囲気は？】	優しくて丁寧に話す
【仕事で「好きだ」「やりがいを感じる」と話していたこと、または「担当者からの印象」は？】	自身を持って良い商品を提供、お客様に喜んでもらえる
【趣味や休日の過ごし方の中で、どんな時に楽しそうに話していましたか？】	
【会員様との会話で感じた、優しさ・思いやり・その他の印象に残ったポイントは？】	同僚とはホームパーティーやバーベキュー
【結婚後の夢・続けたいこと・一緒にやりたいことなど】	安らげ家庭を作る
【会員様が結婚生活で大事にしたいことは？】	支えあい、寄り添い
【担当者目線での会員様の魅力は？】	素直で真面目、照れ笑いに温かい人柄を感じる</t>
  </si>
  <si>
    <t>【会員様と初めて話した時に直観的に感じた印象や雰囲気は？】	穏やかな笑顔、柔らかい雰囲気
【仕事で「好きだ」「やりがいを感じる」と話していたこと、または「担当者からの印象」は？】	患者さんに「先生に見つけてもらえてよかった」と言われる
【趣味や休日の過ごし方の中で、どんな時に楽しそうに話していましたか？】	家事、映画、リフレッシュ
【会員様との会話で感じた、優しさ・思いやり・その他の印象に残ったポイントは？】	美味しいお料理とのペアリング
【結婚後の夢・続けたいこと・一緒にやりたいことなど】	お相手が行きたいところにたくさん連れてってあげたい
【会員様が結婚生活で大事にしたいことは？】	今という時間を大切に
【担当者目線での会員様の魅力は？】	思慮深く聡明、親しみやす</t>
  </si>
  <si>
    <t>【会員様と初めて話した時に直観的に感じた印象や雰囲気は？】	親しみやすい笑顔、心地よい会話
【仕事で「好きだ」「やりがいを感じる」と話していたこと、または「担当者からの印象」は？】	多くの部下、頼りがい
【趣味や休日の過ごし方の中で、どんな時に楽しそうに話していましたか？】	お買い物がてらドライブ、映画鑑賞
【会員様との会話で感じた、優しさ・思いやり・その他の印象に残ったポイントは？】	「鬼滅の刃」映画館で号泣して、他の方に気づかれない様に、走って帰った
【結婚後の夢・続けたいこと・一緒にやりたいことなど】	沢山のことを共有したい
【会員様が結婚生活で大事にしたいことは？】	共に過ごす何気ない毎日
【担当者目線での会員様の魅力は？】	感性豊か、居心地がいい</t>
  </si>
  <si>
    <t>【会員様と初めて話した時に直観的に感じた印象や雰囲気は？】	穏やかな雰囲気、親しみやすい笑顔
【仕事で「好きだ」「やりがいを感じる」と話していたこと、または「担当者からの印象」は？】	ご自身の技術が世界中で使われている
【趣味や休日の過ごし方の中で、どんな時に楽しそうに話していましたか？】	ドライブ、神社仏閣巡り
【会員様との会話で感じた、優しさ・思いやり・その他の印象に残ったポイントは？】	次世代技術の開発にも情熱を注いでいる
【結婚後の夢・続けたいこと・一緒にやりたいことなど】	食事、ドライブなど楽しいことを共有
【会員様が結婚生活で大事にしたいことは？】	お互いを尊重する
【担当者目線での会員様の魅力は？】	出会いやご縁を大切にされている</t>
  </si>
  <si>
    <t>・朗らかな笑顔でご挨拶くださった、●●●様。物腰柔らかい口調でお話しされ、温かみのあるお人柄を感じます。
・お仕事は、金融機関で預金や投資信託の営業業務に携わっています。お客様から色々なお話を聴けることが楽しく、それがご自身の刺激になっているのだとか。真摯にお仕事に取り組まれているご様子が伝わってまいります。
・休日は映画を観に行かれたり、スポーツジムで体を動かしたりしてリフレッシュされています。
・お一人暮らしの経験も長く、ご自分でお食事を作ったり、家の中の整頓されたりなど、家事が楽しいとにこやかにお話しくださいました。これからはお相手様と一緒に、キッチンに立ち料理ができたらと家事へも協力的なご様子。好奇心旺盛なご性格ですので、色々なことを楽しめそうですね。
・ご結婚後は、何でも気軽に話せるご関係をお望みです。嬉しいことや楽しいことは勿論、お互いに正直な気持ちを伝え合えたらとお考えです。
・「日々の会話を大切にして、お互いに成長していきたい」と仰る、●●●様となら和やかなご家庭を築かれることでしょう。</t>
  </si>
  <si>
    <t>・落ち着いた優しい声で丁寧にお話される　●●●様。時折見せる照れ笑いに温かいお人柄が感じられる素敵な方です。
・長年、老舗料理店へのルート営業としてご活躍されており、自信を持って良い商品をお客様に提供して、喜んでいただく事にやりがいを感じていらっしゃるとのことです。
・職場環境も良好で、同僚の方々とはバーベキューやホームパーティーを楽しむなど温かい人間関係を築いていらっしゃることが伺えます。
・学生時代には、地元で民宿やスキー場のリフトのアルバイトを経験されたそうです。現在では関東での生活が長くなり、こちらで共に日々の生活や趣味、旅行などを楽しめるお相手と巡り会いたいと、にっこり。
・結婚したら「安らげる家庭」を築きたいと仰います。そのためには、何でも言い合える気を許せる関係を築いていく事が大切だとお考えです。お相手と旅行や温泉、週末二人で過ごす日々を楽しみにされています。
・周りの方からは、素直で真面目なお人柄と評されており、●●●様となら、きっと穏やかで温かい家庭を築き、支え合って過ごしていく事が出来るでしょう。</t>
  </si>
  <si>
    <t>・穏やかな笑顔と、柔らかな雰囲気が印象的な●●●様。思慮深く聡明な面と親しみやすさを併せ持った、素敵な男性です。
・お仕事は臨床検査技師としてエコー業務に従事。病院のエコー業務全てに携わっています。学生時代、手に職をつけようと、ご興味のある分野の研究に邁進された結果が実を結すび、多くの患者様の信頼を得ていらっしゃいます。「病気を見つけた後、その患者さんに「先生に見つけてもらえてよかった」と言われるとやりがいを感じます」とお話しくださり、日々遣り甲斐を持って取り組まれています。
・休日は家事を済ませ、映画を見てリフレッシュ。また少しお酒も嗜む様で、美味しいお料理とのペアリングも楽しんでいらっしゃいます。
・お相手様とは何気ない穏やかな時間を二人で楽しんでいきたいとお考えです。また、「車の運転は好きなので、お相手が行きたいところにたくさん連れてってあげたいです」と頼もしい言葉をお聞かせくださいました。
・今という時間を大切にしたいと考える●●●様とでしたら優しさに溢れた時間を過ごせることでしょう。</t>
  </si>
  <si>
    <t>・●●●様は、親しみやすい笑顔を絶やさずに、心地よいペースでお話ししてくださいました。お話しが進む程に打ち解けて、楽しい時間となりました。
・お仕事は、電機関連の会社で、システムエンジニアとして長くご活躍です。現在は、管理職として、多くの部下のマネジメントもされており、頼りがいが伝わってまいります。かって国内外のプロジェクトを共にしたお仲間とは、完遂後も親交があるそうで、お人柄を慕われていらっしゃいます。
・お休みは、お買い物がてらのドライブや、時折の海外旅行でリフレッシュされています。「鬼滅の刃」がお好きで、映画館で号泣して、他の方に気づかれない様に、走って帰ったという、感性豊かなエピソードもお聞かせくださいました。
・お子様も成人されて、ご自身の幸せも考える様になり、お相手様との出会いを心待ちにしていらっしゃいます。
・共に過ごす何気ない毎日を大切にして、お互いの一番の味方でありたいそう。●●●様とご一緒なら、居心地の良い、温かいご家庭を築けることでしょう。ぜひ、お会いしてお話ししてみてください。</t>
  </si>
  <si>
    <t>・穏やかな雰囲気と親しみやすい笑顔が魅力的な●●●様。優しい口調や柔らかな物腰から、誠実なお人柄が伝わってまいります。どのような方とも自然に打ち解けられる●●●様は、周囲からの信頼も厚い方だとお話しから感じられました。
・お仕事は自動車のエンジン制御の開発に携わっておられます。ご自身の技術が世界中で使われていることにやりがいや喜びを感じながら、次世代技術の開発にも情熱を注いでおられます。
・お休みの日には、愛車でのドライブや神社仏閣巡りを楽しまれることもあり、御朱印集めもされているとのこと。また、作り置きの料理をされるなど家庭的な一面もうかがえました。最近では健康を意識し、ウォーキングなど新しいことにも積極的に挑戦したいとお考えです。
・キャリアアップや人間力を高めるためにコーチングを学ばれ、ご自身の考え方や人との関わり方にも変化があったとお話しくださいました。出会いやご縁を大切にされているご様子が印象的です。
・お互いを尊重し、思いやりをもって笑顔の絶えない、いつまでも仲の良い関係でありたいとお考えです。</t>
  </si>
  <si>
    <t>・朗らかな笑顔が印象的で、柔らかい物腰と温かみのある人柄を感じる方です。
・現在は銀行業で保険の営業をされており、お客様からさまざまなお話を聴けることに楽しみや刺激を感じていらっしゃいます。
・仕事の合間にも、真摯に相手の声に耳を傾けていることからも、誠実さがうかがえます。
・休日はスポーツジムで体を動かすことや、映画館での映画鑑賞、街を歩きながら美味しいお店を探すことなど、幅広い趣味を楽しんでいるそうです。
・特に、良さそうなお店を見つけた時に感じる喜びや散策の時間を大切にしており、神社仏閣やお城巡りなど歴史を感じることにも興味をお持ちです。
・ラーメン好きで、本やYouTube、ラジオで新しいことを学び、部屋を整理整頓したりと、習慣化を意識して日々を丁寧に過ごされています。
・一人暮らしの経験から、料理や掃除など家事も積極的に取り組まれ、ご自身でも家事が好きだと話されていたのが印象的でした。
・結婚後は日々の会話を大切にし、お互いの考えや価値観を共有しながら、助け合って成長できる居心地の良い家庭を築きたいとお話しくださいました。</t>
  </si>
  <si>
    <t>・優しくて丁寧に話される、あたたかな雰囲気をお持ちの方です。
・照れ笑いを浮かべながらも素直で真面目な姿勢が伝わり、そこに温かい人柄を感じます。
・食料品の営業職に従事され、お客様に自信をもって良い商品を提供し、喜んでもらえる瞬間にやりがいを感じていらっしゃいます。
・職場では同僚との関係も良好で、ホームパーティーやバーベキューを一緒に楽しみながら、日常の中で自然に思いやりを示しておられる印象を受けました。
・ご趣味は国内旅行やドライブ、食べ歩き、カフェで過ごすこと、テーマパークめぐりと多岐にわたります。
・気になるお店を見つけては実際に訪れて味わうなど、好奇心と行動力が印象的です。
・ドライブもお好きで、安心して助手席に座ってくださいとお話しくださる姿に、パートナーを思いやる気持ちが感じられます。
・ご結婚後は「残りの人生を支え合い、寄り添いながら明るく楽しい家庭を築きたい」と語っていらっしゃいました。
・ぜひお会いになってみてください。</t>
  </si>
  <si>
    <t>・柔らかな笑顔と落ち着いた雰囲気をまとわれている方です。
・静かに話す中にも温かさがあり、親しみやすさを感じます。
・医療・福祉分野で管理職を務め、日々エコー業務などに携わっておられます。
・患者さんから「先生に見つけてもらえてよかった」と感謝を伝えられることにやりがいを持たれ、その気持ちが日々の糧となっているようです。
・休日は家事や映画鑑賞を中心に過ごし、リフレッシュの時間を大切にされています。
・家での映画鑑賞だけでなく、居酒屋めぐりや、音楽を聴きながらのドライブ、ショッピングも楽しまれています。
・近隣の日帰り温泉やコテージ滞在など新しい体験にも興味があり、旅行や食べ歩きも今後の楽しみとお話しくださいました。
・神社仏閣をご覧になるのもお好きで、ご朱印状集めに心の落ち着きを感じているそうです。
・「今」という時間を大切にし、楽しい時も大変な時も助け合いながら過ごせるご夫婦を目指したいと語ってくださいました。
・思慮深く聡明で親しみやすい方なお人柄にぜひ触れてみてください。</t>
  </si>
  <si>
    <t>・親しみやすい笑顔が印象的な方です。穏やかで心地よい会話の流れを作られる雰囲気に、自然と引き込まれるような魅力を感じます。
・お仕事は電気機器関連のエンジニアをされており、多くの方と関わりながら、日々丁寧に業務に取り組んでいらっしゃいます。
・職場では部下の方からさまざまな相談を受けていらっしゃり、時間を作って話を聞く姿勢から、誠実さと頼りがいのある人柄が伝わってきました。
・趣味は居酒屋めぐりやドライブ、映画鑑賞、国内外の旅行です。特に「居酒屋で一緒に楽しく飲む」空間が好きだという思いが印象的でした。
・最近は海外旅行に興味があり、映画についても「鬼滅の刃」を映画館で観て感動し、涙をこらえて帰られたエピソードにも繊細な感性が感じられます。
・理想の結婚生活は、食事やお出かけなど、何気ない毎日を共に過ごす時間を大切にしたいというお考えです。
・感性豊かな雰囲気や、居心地のよさを大切にしていらっしゃるお人柄に、ぜひお会いになってみてください。</t>
  </si>
  <si>
    <t>・穏やかな雰囲気と親しみやすい笑顔をお持ちの方です。
・その表情から、出会いやご縁を大切にされている様子が伝わってきます。
・現在は専門職として、自動車のエンジン制御開発に従事されています。
・ご自身の技術が、世界中のさまざまな場所で使われていることにやりがいを感じている方です。
・日々、新しい技術開発にも熱心に取り組んでおられ、次世代に向けた挑戦に情熱を注いでいらっしゃいます。
・休日は主にドライブや神社仏閣巡りを楽しまれています。
・居酒屋で友人と一緒に過ごす和やかな雰囲気もお好みで、ともに食事や旅行へ出かける時間を大切にされています。
・最近は海外旅行にも興味を持ち、多彩な経験や楽しみを新たに広げていらっしゃいます。
・理想の結婚像については、「お互いを尊重しながら一緒に日常を楽しく過ごせる夫婦が幸せ」と語られていました。
・お相手とのささやかな日常を何より大切にされる方ですので、その温かな人柄にぜひ触れてみてください。</t>
  </si>
  <si>
    <t>朗らかな笑顔が印象的で、柔らかい物腰と温かみのある人柄を感じる方です。
現在は銀行業で保険の営業をされていて、お客様からさまざまなお話を聴けることに楽しみや刺激を感じていらっしゃいます。
仕事の合間にも、真摯に相手の声に耳を傾けていることから誠実さがうかがえます。
休日はスポーツジムで体を動かすことや映画館での映画鑑賞、街を歩きながら美味しいお店を探すことなど、幅広い趣味を楽しんでいるそうです。
特に、良さそうなお店を見つけた時に感じる喜びや散策の時間を大切にし、神社仏閣やお城巡りなど歴史を感じることにも関心をお持ちです。
ラーメンが好きで、本やYouTube、ラジオで新しいことを学び、部屋を整理整頓したりと、習慣化を意識して日々を丁寧に過ごされています。
一人暮らしの経験から料理や掃除など家事も積極的に取り組まれ、ご自身でも家事が好きだと話されていたのが印象的でした。
結婚後は日々の会話を大切にし、お互いの考えや価値観を共有しながら助け合って成長できる居心地の良い家庭を築きたいとお話しくださいました。</t>
  </si>
  <si>
    <t>優しくて丁寧に話される、あたたかな雰囲気をお持ちの方です。
照れ笑いを浮かべながらも素直で真面目な姿勢が伝わり、そこに温かい人柄を感じます。
食料品の営業職に従事されており、お客様に自信をもって良い商品を提供し、喜んでもらえる瞬間にやりがいを感じていらっしゃいます。
職場では同僚との関係も良好で、ホームパーティーやバーベキューを一緒に楽しみながら、日常の中で自然に思いやりを示しておられる印象を受けました。
ご趣味は国内旅行やドライブ、食べ歩き、カフェで過ごすこと、テーマパークめぐりと多岐にわたります。
気になるお店を見つけては実際に訪れて味わうなど、好奇心と行動力が印象的です。
ドライブもお好きで、安心して助手席に座ってくださいとお話しくださる姿に、パートナーを思いやる気持ちが感じられます。
ご結婚後は「残りの人生を支え合い、寄り添いながら明るく楽しい家庭を築きたい」と語っていらっしゃいました。
その温かな人柄にぜひ触れてみてください。</t>
  </si>
  <si>
    <t>柔らかな笑顔と落ち着いた雰囲気をまとわれている方です。
静かに話す中にも温かさがあり、親しみやすさを感じます。
医療・福祉分野で管理職を務め、日々エコー業務などに携わっておられます。
患者さんから「先生に見つけてもらえてよかった」と感謝を伝えられることにやりがいを持たれ、その気持ちが日々の糧となっているようです。
休日は家事や映画鑑賞を中心に過ごし、リフレッシュの時間を大切にされています。
家での映画鑑賞だけでなく、居酒屋めぐりや、音楽を聴きながらのドライブ、ショッピングも楽しまれています。
近隣の日帰り温泉やコテージ滞在など新しい体験にも興味があり、旅行や食べ歩きも今後の楽しみとお話しくださいました。
神社仏閣をご覧になるのもお好きで、ご朱印状集めに心の落ち着きを感じているそうです。
「今」という時間を大切にし、楽しい時も大変な時も助け合いながら過ごせるご夫婦を目指したいと語ってくださいました。
思慮深く聡明で親しみやすい方なお人柄にぜひ触れてみてください。</t>
  </si>
  <si>
    <t>親しみやすい笑顔が印象的な方です。
穏やかで心地よい会話の流れを作られる雰囲気に、自然と引き込まれるような魅力を感じます。
お仕事は電気機器関連のエンジニアをされており、多くの方と関わりながら、日々丁寧に業務に取り組んでいらっしゃいます。
職場では部下の方からさまざまな相談を受けていらっしゃり、時間を作って話を聞く姿勢から、誠実さと頼りがいのある人柄が伝わってきました。
趣味は居酒屋めぐりやドライブ、映画鑑賞、国内外の旅行です。
特に「居酒屋で一緒に楽しく飲む」空間が好きだという思いが印象的でした。
最近は海外旅行に興味があり、映画についても「鬼滅の刃」を映画館で観て感動し、涙をこらえて帰られたエピソードにも繊細な感性が感じられます。
理想の結婚生活は、食事やお出かけなど、何気ない毎日を共に過ごす時間を大切にしたいというお考えです。
感性豊かな雰囲気や、居心地のよさを大切にしていらっしゃるお人柄に、ぜひお会いになってみてください。</t>
  </si>
  <si>
    <t>穏やかな雰囲気と親しみやすい笑顔をお持ちの方です。
その表情から、出会いやご縁を大切にされている様子が伝わってきます。
現在は専門職として、自動車のエンジン制御開発に従事されています。
ご自身の技術が、世界中のさまざまな場所で使われていることにやりがいを感じている方です。
日々、新しい技術開発にも熱心に取り組んでおられ、次世代に向けた挑戦に情熱を注いでいらっしゃいます。
休日は主にドライブや神社仏閣巡りを楽しまれています。
居酒屋で友人と一緒に過ごす和やかな雰囲気もお好みで、ともに食事や旅行へ出かける時間を大切にされています。
最近は海外旅行にも興味を持ち、多彩な経験や楽しみを新たに広げていらっしゃいます。
理想の結婚像については、「お互いを尊重しながら一緒に日常を楽しく過ごせる夫婦が幸せ」と語られていました。
お相手とのささやかな日常を何より大切にされる方ですので、その温かな人柄にぜひ触れてみてください。</t>
  </si>
  <si>
    <t>■担当者紹介文_評価シート（実験No：Tes-G）</t>
  </si>
  <si>
    <t>Rec-08</t>
  </si>
  <si>
    <t>＃命令文
「# 基本ルール」「# 文章構成」から担当者紹介文を作成してください。
生成する際は、箇条書きの文章と平文の2つを生成すること。ただし、中身は同じものとしてください。
正しさと統一感があり信頼できる文章であること、また変化があり読み手のイメージを膨らませる文章であることが望ましいです。
なお、「# チェック項目」にあるすべての項目をクリアした紹介文を生成すること。
担当者紹介文を生成したのち、チェック項目に沿って出ているか、○×で答えたものも出力してください。
また、そう判断した理由も教えてください。
# 基本ルール
1. 箇条書きも平文もどちらも440字以上～470字以下で生成すること。
　ひらがな、カタカナ、漢字、英数字、記号、スペース、1回の改行をすべて1文字とし、総文字数をカウントする。
2. 紹介文の最初に、【会員様と初めて話した時に直観的に感じた印象や雰囲気は？】と絡めて「・・・な方」「・・・な印象の方」と担当者からの印象で紹介を始める。尚、初めて話した時、などの時節説明はいらない。
3. 印象や雰囲気を記述する際、「男性です」「女性です」と表現せず、「・・・方です」「・・・をお持ちです」といった表現をランダムに記載すること。
4. 箇条書きと、箇条書きを平文化した文章の2つを生成すること。
5. 箇条書きの場合、文頭は中黒「・」で統一する。
6. 平文を生成する際は、箇条書きから中黒「・」とり、自然な接続詞を用いるが、冗長にならないように簡潔に書くこと。
7. 平文生成時は一文ごとに改行すること。
8. 話し言葉を避ける。
9. 並列表現をしない。ただし、単語レベルではOK（文章レベルはNG）
10. 過剰な美化語を使用しない。
11.職業や趣味については、単なる事実の羅列ではなく、その人の価値観や人柄が伝わるように記述すること。
12.追加質問の内容はすべてテキストに含めること
13.追加質問の【担当者目線での会員様の魅力は？】の内容がテキスト内に含められなかった場合、【会員様と初めて話した時に直観的に感じた印象や雰囲気は？】の内容とまとめて記載すること。
14.仕事や業務に関して記述する際、抽象的・ビジネス評価的な言葉（尊重、尊敬、信頼、評価、印象的、優秀、リーダーシップなど）は使わず、仕事での行動や人柄を日常的な言葉で表現すること。
15. 年齢や身長といった具体的な数字はいれないこと。
16. 最後の文章は、文末は「・・・ぜひお会いになってみてください」「・・・と、お話しくださいました」「・・・なお人柄にぜひ触れてみてください」「・・・な、家庭を築かれるでしょう」「・・・ことでしょう」をランダムに記載する
# 文章構成
①担当者からの印象
・顔を合わせたときに向けてくださる、優しいまなざしの笑顔が印象的な方です。
・色白でかわいらしい顔立ちの方です。やわらかい目元が印象的で穏やかな雰囲気をお持ちの方です。
・特に女性の場合：清楚で可愛らしい方です。温かな眼差しでお話しくださる空間が心地よく、自然とこちらまで笑顔にさせてくださる気遣いのできる方です。
・特に男性の場合：爽やかな笑顔が素敵な方です。質問に対しても丁寧にお話しくださるお姿から、誠実で温和なお人柄を感じます。
②仕事
・現在は〇〇の仕事に就かれ、日々〇〇に取り組んでいらっしゃいます。
・お仕事は子供服の接客販売をされています。
③仕事のやりがい・職場関係
・職場では、仕事のご相談を受けることが多く、できる限り時間をつくって話に耳を傾けていらっしゃることからも、誠実なお人柄を感じました。
④趣味・休日の過ごし方
・ご趣味はアウトドアが多いそうですが、ご自宅では、料理をつくる機会が増え、色々な料理にチャレンジされていらっしゃいます。
⑤エピソード
・学生時代のご友人とは今でも親交があり、部活動で励んでいたバドミントンや避暑地でのキャンプなどを一緒に楽しまれるそうです。
⑥未来像
・ご結婚後は、「お互いの趣味を共有して、お相手と一緒に日常生活を楽しめる工夫をしていきたいです」と笑顔でお話しくださいました。
#チェック項目
1. 箇条書きも平文もどちらも440字以上～470字以下で生成すること。
　ひらがな、カタカナ、漢字、英数字、記号、スペース、1回の改行をすべて1文字とし、総文字数をカウントする。
2. 紹介文の最初に、【会員様と初めて話した時に直観的に感じた印象や雰囲気は？】と絡めて「・・・な方」「・・・な印象の方」と担当者からの印象で紹介を始める。尚、初めて話した時、などの時節説明はいらない。
3. 印象や雰囲気を記述する際、「男性です」「女性です」と表現せず、「・・・方です」「・・・をお持ちです」といった表現をランダムに記載すること。
4. 箇条書きと、箇条書きを平文化した文章の2つを生成すること。
5. 箇条書きの場合、文頭は中黒「・」で統一する。
6. 平文を生成する際は、箇条書きから中黒「・」とり、自然な接続詞を用いるが、冗長にならないように簡潔に書くこと。
7. 平文生成時は一文ごとに改行すること。
8. 話し言葉を避ける。
9. 並列表現をしない。ただし、単語レベルではOK（文章レベルはNG）
10. 過剰な美化語を使用しない。
11.職業や趣味については、単なる事実の羅列ではなく、その人の価値観や人柄が伝わるように記述すること。
12.追加質問の内容はすべてテキストに含めること
13.追加質問の【担当者目線での会員様の魅力は？】の内容がテキスト内に含められなかった場合、【会員様と初めて話した時に直観的に感じた印象や雰囲気は？】の内容とまとめて記載すること。
14.仕事や業務に関して記述する際、抽象的・ビジネス評価的な言葉（尊重、尊敬、信頼、評価、印象的、優秀、リーダーシップなど）は使わず、仕事での行動や人柄を日常的な言葉で表現すること。
15. 年齢や身長といった具体的な数字はいれないこと。
16. 最後の文章は、文末は「・・・ぜひお会いになってみてください」「・・・と、お話しくださいました」「・・・なお人柄にぜひ触れてみてください」「・・・な、家庭を築かれるでしょう」「・・・ことでしょう」をランダムに記載する</t>
  </si>
  <si>
    <t>・明るく快活な印象の方です。
・優しさや温厚さが自然に表れる穏やかな雰囲気をお持ちです。
・現在はサービス業に従事され、レストランの現場運営に携わりながら、仕事の流れを把握し前向きに日々の業務をこなしていらっしゃいます。
・職場では周囲の声に耳を傾けながら、協力し合う姿勢が印象に残ります。
・休日は、ご友人とスポーツジムや食事に出かけたり、家でＤＶＤを楽しみながらゆったりと過ごされています。
・旅行も大きな楽しみの一つで、事前に調べてから青写真を立てつつもフリープランが好きなこだわりを感じます。
・音楽鑑賞にも深い愛着を持ち、その日の気分を音楽でリセットし、次の日への活力にしているそうです。
・学生時代にはニュージーランドへの留学経験があり、柔らかな視野を身につけてこられました。
・結婚後は、お互いの時間を大切にしながらも、互いに支え合い、一緒に目標を持って日々を重ねてゆきたいとお話しくださいました。
・その穏やかで思いやりにあふれたお人柄にぜひ触れてみてください。</t>
  </si>
  <si>
    <t>・柔らかな語り口と温かい雰囲気をお持ちの方です。
・親しみやすく自然と心が和む印象があり、会話の中には穏やかなユーモアも感じました。
・現在は医療・福祉の現場で看護業務に携わり、患者様と真摯に向き合われています。
・とくに、入院していた子供たちから「楽しかった」とお手紙を受け取ることや、元気に退院する姿にやりがいを感じていると語ってくださいました。
・分かりやすく伝えることを工夫し、多くの方に寄り添う姿勢が日常に現れています。
・休日や余暇には、ピアノやウクレレで多彩なジャンルの曲を奏でたり、手作りのお菓子をプレゼントして周囲を笑顔にされています。
・水族館巡りを楽しみにされており、その中でも特にクラゲへの関心を深めていきたいそうです。
・好きなことや楽しかった時間を大事にし、日々の小さな喜びをパートナーと共有できる関係を思い描いていらっしゃいます。
・一つ一つのことを優しく楽しむ姿勢や、会話の心地よさを、ぜひお会いになってみてください。</t>
  </si>
  <si>
    <t>・凛とした美しさと終始笑顔をお持ちの方です。
・接したときに、穏やかで芯の強さを感じると同時に、柔らかな雰囲気を持たれています。
・サービス職で事務に携わっており、現在も職場の人間関係に恵まれ、ストレスなくお仕事を続けていらっしゃいます。
・周囲と丁寧に向き合いながら業務に取り組む姿勢から、誠意のある方であることがうかがえました。
・趣味は食べ歩きや温泉地めぐり、スイーツ巡り、神社巡り、海外旅行など多彩で、美味しいご飯とお酒を楽しみ、リラックスした時間を大切にされています。
・野球やサッカー観戦、ライブ・コンサート鑑賞、お笑い、動物と触れ合うことも楽しみとされています。
・美味しいお店を探したり、力を合わせてやり遂げることに充実感を感じ、多様なコミュニティでアクティブに過ごされています。
・心身共に健康を大切にしながら、旅行先で素敵な宿に泊まったり、一緒に料理をしたいといった希望もお持ちです。
・「ありがとうやごめんねを素直に伝え合い、一緒にいて楽しさと安らぎを感じられる関係を築きたい」とお話しくださいました。</t>
  </si>
  <si>
    <t>・明るい笑顔が印象的で、優しい雰囲気をお持ちの方です。
・親しみやすく気さくなお人柄が伝わり、自然と周囲を和ませる力を感じます。
・情報通信業にて事務職として働いており、日々の業務では周囲とのコミュニケーションを大切にされています。
・ご自身が人と関わることを楽しみ、職場でも同僚との会話や協力を意識して円滑な関係づくりを心がけていらっしゃいます。
・ご趣味は食べ歩きや温泉地めぐり、散歩、ハイキングなど多彩で、美味しい料理やスイーツには目がないと話されていました。
・自宅では漢字パズルに取り組んでリラックスされることも楽しみの一つです。
・学生時代からのご友人とも親交が続き、休日には一緒に出かけて自然や会話を楽しむことを大切にされていらっしゃいます。
・これからも色々な場所へ赴き、美味しいものやきれいな景色を味わいたいとお話しくださいました。
・「お互いを大切にして思いやれる関係が理想」と語る、心温かな方です。ぜひお会いになってみてください。</t>
  </si>
  <si>
    <t>・凛とした姿勢と聡明さ、そしてにこやかな雰囲気をお持ちの方です。
・現在は保険業界で管理職としてご活躍され、日々多くの業務を責任感を持ってこなしていらっしゃいます。
・重責を担う日々の中にも、ご自身が関わった仕事全体にやりがいを感じていると話してくださいました。
・職場では周囲の方の相談にもしっかり耳を傾け、温かく柔軟に対応されている様子から、思いやりと気遣いに富んだ人柄が伝わってきます。
・ご趣味では愛犬との散歩や友人と美味しい料理を楽しむこと、ジムに通うことに充実した時間を見出していらっしゃいます。
・特に海外旅行に対する好奇心が強く、現地の暮らしや文化に触れ合うことを大切にされている点が印象的です。
・結婚後は、辛い時も楽しい時も共に笑い合い、お互いの価値観を尊重し合いながら「二人らしい関係性を大切にしたい」と語ってくださいました。
・柔軟さと好奇心あふれる魅力なお人柄にぜひ触れてみてください。</t>
  </si>
  <si>
    <t>明るく快活な印象の方です。
優しさや温厚さが自然に表れる穏やかな雰囲気をお持ちです。
現在はサービス業に従事され、レストランの現場運営に携わりながら、仕事の流れを把握し前向きに日々の業務をこなしていらっしゃいます。
職場では周囲の声に耳を傾けながら、協力し合う姿勢が印象に残ります。
休日はご友人とスポーツジムや食事に出かけたり、家でＤＶＤを楽しみながらゆったりと過ごされています。
旅行も大きな楽しみの一つで、事前に調べてから青写真を立てつつもフリープランが好きなこだわりを感じます。
音楽鑑賞にも深い愛着を持ち、その日の気分を音楽でリセットし、次の日への活力にしているそうです。
学生時代にはニュージーランドへの留学経験があり、柔らかな視野を身につけてこられました。
結婚後はお互いの時間を大切にしながら、一緒に目標を持って日々を重ねてゆきたいとお話しくださいました。
その穏やかで思いやりにあふれたお人柄にぜひ触れてみてください。</t>
  </si>
  <si>
    <t>柔らかな語り口と温かい雰囲気をお持ちの方です。
親しみやすく自然と心が和む印象があり、会話の中には穏やかなユーモアも感じました。
現在は医療・福祉の現場で看護業務に携わり、患者様と真摯に向き合われています。
とくに、入院していた子供たちから「楽しかった」とお手紙を受け取ることや、元気に退院する姿にやりがいを感じていると語ってくださいました。
分かりやすく伝えることを工夫し、多くの方に寄り添う姿勢が日常に現れています。
休日や余暇には、ピアノやウクレレで多彩なジャンルの曲を奏でたり、手作りのお菓子をプレゼントして周囲を笑顔にされています。
水族館巡りを楽しみにされており、その中でも特にクラゲへの関心を深めていきたいそうです。
好きなことや楽しかった時間を大事にし、日々の小さな喜びをパートナーと共有できる関係を思い描いていらっしゃいます。
一つ一つのことを優しく楽しむ姿勢や、会話の心地よさを、ぜひお会いになってみてください。</t>
  </si>
  <si>
    <t>凛とした美しさと終始笑顔をお持ちの方です。
接したときに、穏やかで芯の強さを感じると同時に、柔らかな雰囲気を持たれています。
サービス職として事務に携わり、現在も職場の人間関係に恵まれストレスなく仕事を続けていらっしゃいます。
周囲と丁寧に向き合いながら業務に取り組む姿勢から、誠意のある方であることがうかがえました。
食べ歩きや温泉地めぐり、スイーツ巡り、神社巡り、海外旅行など多彩な趣味を持ち、美味しいご飯とお酒を楽しみながらリラックスした時間を大切にされています。
野球やサッカー観戦、ライブ・コンサート鑑賞、お笑い、動物と触れ合うことも楽しみのひとつです。
美味しいお店探しや力を合わせてやり遂げることに充実感を感じ、多様なコミュニティでアクティブに過ごされています。
心身共に健康を大切にしながら、旅行先で素敵な宿に泊まったり、一緒に料理をしたいといった希望もお持ちです。
「ありがとうやごめんねを素直に伝え合い、一緒にいて楽しさと安らぎを感じられる関係を築きたい」とお話しくださいました。</t>
  </si>
  <si>
    <t xml:space="preserve">明るい笑顔が印象的で、優しい雰囲気をお持ちの方です。
親しみやすく気さくなお人柄が伝わり、自然と周囲を和ませる力を感じます。
情報通信業にて事務職として働いており、日々の業務では周囲とのコミュニケーションを大切にされています。
ご自身が人と関わることを楽しみ、職場でも同僚との会話や協力を意識して円滑な関係づくりを心がけていらっしゃいます。
ご趣味は食べ歩きや温泉地めぐり、散歩、ハイキングなど多彩で、美味しい料理やスイーツには目がないと話されていました。
自宅では漢字パズルに取り組んでリラックスされることも楽しみの一つです。
学生時代からのご友人とも親交が続き、休日には一緒に出かけて自然や会話を楽しむことを大切にされていらっしゃいます。
これからも色々な場所へ赴き、美味しいものやきれいな景色を味わいたいとお話しくださいました。
「お互いを大切にして思いやれる関係が理想」と語る、心温かな方です。ぜひお会いになってみてください。
</t>
  </si>
  <si>
    <t>凛とした姿勢と聡明さ、そしてにこやかな雰囲気をお持ちの方です。
現在は保険業界で管理職としてご活躍され、日々多くの業務を責任感を持ってこなしていらっしゃいます。
重責を担う日々の中にも、ご自身が関わった仕事全体にやりがいを感じていると話してくださいました。
職場では周囲の方の相談にもしっかり耳を傾け、温かく柔軟に対応されている様子から、思いやりと気遣いに富んだ人柄が伝わってきます。
ご趣味では愛犬との散歩や友人と美味しい料理を楽しむこと、ジムに通うことに充実した時間を見出していらっしゃいます。
特に海外旅行に対する好奇心が強く、現地の暮らしや文化に触れ合うことを大切にされている点が印象的です。
結婚後は、辛い時も楽しい時も共に笑い合い、お互いの価値観を尊重し合いながら「二人らしい関係性を大切にしたい」と語ってくださいました。
柔軟さと好奇心あふれる魅力なお人柄にぜひ触れてみてください。</t>
  </si>
  <si>
    <t>16. 最後の文章は、文末は「・・・ぜひお会いになってみてください」「・・・と、お話しくださいました」「・・・なお人柄にぜひ触れてみてください」「・・・な、家庭を築かれるでしょう」「・・・ことでしょう」をランダムに記載する</t>
  </si>
  <si>
    <t>・朗らかな笑顔と柔らかい物腰が印象的な、温かみのある方です。
・銀行業で保険の営業の仕事に励まれ、日々多くのお客様からのお話を真摯な姿勢で受け止め、信頼関係を築いていらっしゃいます。
・お客様のお話を聴くことが楽しいと感じ、好奇心や柔軟な考え方で仕事に向き合われているお姿が印象的です。
・映画館での映画鑑賞やスポーツジムで体を動かすことで心身をリフレッシュされ、ご自身なりのリズムを大切にしながら休日を過ごされています。
・趣味の食べ歩きでは、街を散策して新しいお店を見つける瞬間に強い喜びを感じておられ、様々な分野に興味を持ち、好奇心を発揮されています。
・一人暮らしが長く、料理や掃除など家事も得意で、日々の生活を丁寧に整えることを習慣化されています。
・ご結婚後は「お互いに素直な気持ちを伝え合い、日々の会話を大切にしたい」と笑顔で話しておられました。温かな人柄にぜひ触れてみてください。</t>
  </si>
  <si>
    <t>・優しくて丁寧に話される姿が印象的な方です。
・照れ笑いを交えながらお話しくださる温かさと、真面目で素直なお人柄を感じました。
・現在は食料品の営業職に就かれ、自身が愛着をもった商品を通じてお客様に喜びを届けていらっしゃいます。
・自信を持って商品をご案内される様子から、普段から人と誠実に向き合う姿勢がうかがえます。
・職場では同僚とホームパーティーやバーベキューをする機会も多く、自然な気配りや親しみやすさがお客様だけでなく周囲の方にも伝わっているようです。
・趣味は国内旅行やドライブ、食べ歩きやカフェで過ごすことなどを楽しまれています。
・美味しそうなお店を見つけると時間を作って自ら足を運ばれたり、ドライブのついでに温泉へ出かけるなど行動的な一面をお持ちです。
・結婚後は「一度きりしかない人生、お相手と支えあいながら明るく楽しい家庭を築いていきたい」と、お話しくださいました。</t>
  </si>
  <si>
    <t>・穏やかな笑顔と柔らかな雰囲気をお持ちの方です。
・会話を通じて感じたのは、思慮深く聡明でありながらも親しみやすく、誰とでも自然に心の距離を近づけられる魅力を備えていらっしゃる点です。
・現在は医療・福祉分野で管理職を務めており、エコー業務のほか、日々多様なご相談や現場の調整に取り組まれています。
・患者さんから「先生に見つけてもらえてよかった」と声をかけられることがあると伺い、人の安心につながる仕事に情熱をもって向き合われている様子が伝わってまいりました。
・休日には音楽を聴きながらドライブをされたり、映画鑑賞やショッピングでリフレッシュされ、ご自身の時間を豊かに楽しまれます。
・神社仏閣を巡り御朱印を集めるひとときも、お相手と共有できるような穏やかな楽しみと語っておられました。
・ご結婚後は「お相手が行きたいところにたくさん連れていきたい」「今という時間を大切にしたい」と、お話しくださいました。</t>
  </si>
  <si>
    <t>・親しみやすい笑顔と心地よい会話が自然に周囲を和ませる方です。
・柔らかな人柄で、話す相手が安心できる空気感をお持ちです。
・現在は電気機器業界の専門職としてエンジニアの仕事に従事されており、職場では多くの部下を持ち、頼りにされる場面が多いそうです。
・いつも周りの思いや状況に気を配り、時間が許す限り相談に乗る姿をよく見かけることから、お人柄の温かさが感じられます。
・お休みにはお買い物がてらドライブに出かけたり、映画館で映画を観たりする時間を何より楽しみにされています。
・「鬼滅の刃」を観て感極まってしまい、号泣をごまかすために素早く劇場を後にしたというエピソードには、豊かな感性と優しさが表れています。
・居酒屋で楽しく語らい、海外旅行も新しい楽しみとして満喫されているとのこと。
・ご結婚後は「食事やお出かけなど、たくさんのことを共有し、何気ない日々を一緒に大切にしたい」と、笑顔でお話しくださいました。
・感性豊かで居心地の良い空気感が魅力的な方なお人柄にぜひ触れてみてください。</t>
  </si>
  <si>
    <t>・落ち着いた雰囲気と親しみやすい笑顔が印象的な方です。
・ご自身の技術が世界中で活用されていることをさりげなく話される姿勢から、着実に努力を積み重ねてこられたことが伝わってきました。
・自動車のエンジン制御開発を専門にされ、日々新たな技術の探求や、次世代への貢献にも情熱を注いでいらっしゃいます。
・ドライブや神社・仏閣めぐりなど、心落ち着く趣味を大切にしつつ、一緒に楽しいひとときを過ごすことにこだわりがあり、居酒屋での語らいを愉しんでいるそうです。
・最近は海外旅行も始め、幅広く新しい体験にも前向きな姿勢を持っておられます。
・日常の中で大切にしたいのは、お互いを思いやりながら、話し合い、出かけたり食事をする自然なひとときだとお話しくださいました。
・ご縁や出会いを何より大切にされ、家庭を築く未来に向けて新しい経験を分かち合いたいと静かに語られる姿がとても印象的でした。
・温かく実直なお人柄にぜひ触れてみてください。</t>
  </si>
  <si>
    <t>朗らかな笑顔と柔らかい物腰が印象的で、温かみのある方です。
銀行業で保険の営業の仕事に励まれ、日々多くのお客様からのお話を真摯な姿勢で受け止め、信頼関係を築いていらっしゃいます。
お客様のお話を聴くことが楽しいと感じ、好奇心や柔軟な考え方で仕事に向き合われているお姿が印象的です。
映画館での映画鑑賞やスポーツジムで体を動かすことで心身をリフレッシュされ、ご自身なりのリズムを大切にしながら休日を過ごされています。
趣味の食べ歩きでは、街を散策して新しいお店を見つける瞬間に大きな喜びを感じられ、様々な分野に興味を持ち、好奇心を発揮されています。
一人暮らしが長く、料理や掃除など家事も得意で、日々の生活を丁寧に整えることを習慣化されています。
ご結婚後は「お互いに素直な気持ちを伝え合い、日々の会話を大切にしたい」と笑顔で話しておられました。温かな人柄にぜひ触れてみてください。</t>
  </si>
  <si>
    <t>優しくて丁寧に話される姿が印象的な方です。
照れ笑いを交えながらお話しされる温かさと、真面目で素直なお人柄に触れることができました。
現在は食料品の営業職に就かれ、自身が愛着を持って選んだ商品をお客様に届けることで、大きなやりがいを感じていらっしゃいます。
商品の魅力を自信をもって伝えられる様子からも、日頃の誠実な対応や人への向き合い方が伝わってきました。
職場では同僚の方とホームパーティーやバーベキューを楽しみ、さりげない気配りや親しみやすさで良い関係を築かれています。
ご趣味は国内旅行やドライブ、食べ歩き、カフェで過ごすことなど多岐にわたり、美味しいお店を自ら探して訪れ、行動力も感じさせます。
ドライブ好きで温泉にもよく出かけられるとのことで、安心して助手席に座ってほしいと話されていました。
一度きりの人生、お相手と寄り添い支え合いながら、明るく楽しい家庭をつくっていきたい、と、お話しくださいました。</t>
  </si>
  <si>
    <t xml:space="preserve">穏やかな笑顔と柔らかな雰囲気をお持ちの方です。
会話を通じて感じたのは、思慮深く聡明でありながらも親しみやすく、誰とでも自然に心の距離を近づけられる魅力を備えていらっしゃる点です。
現在は医療・福祉分野で管理職を務めており、エコー業務のほか、日々多様なご相談や現場の調整に取り組まれています。
患者さんから「先生に見つけてもらえてよかった」と声をかけられることがあると伺い、人の安心につながる仕事に情熱をもって向き合われている様子が伝わってまいりました。
休日には音楽を聴きながらドライブをされたり、映画鑑賞やショッピングでリフレッシュされ、ご自身の時間を豊かに楽しまれます。
神社仏閣を巡り御朱印を集めるひとときも、お相手と共有できるような穏やかな楽しみと語っておられました。
ご結婚後は「お相手が行きたいところにたくさん連れていきたい」「今という時間を大切にしたい」と、お話しくださいました。
</t>
  </si>
  <si>
    <t xml:space="preserve">親しみやすい笑顔と心地よい会話が自然に周囲を和ませる方です。
柔らかな人柄で、話す相手が安心できる空気感をお持ちです。
現在は電気機器業界の専門職としてエンジニアの仕事に従事されており、職場では多くの部下を持ち、頼りにされる場面が多いそうです。
いつも周りの思いや状況に気を配り、時間が許す限り相談に乗る姿をよく見かけることから、お人柄の温かさが感じられます。
お休みにはお買い物がてらドライブに出かけたり、映画館で映画を観たりする時間を何より楽しみにされています。
「鬼滅の刃」を観て感極まってしまい、号泣をごまかすために素早く劇場を後にしたというエピソードには、豊かな感性と優しさが表れています。
居酒屋で楽しく語らい、海外旅行も新しい楽しみとして満喫されているとのことです。
ご結婚後は「食事やお出かけなど、たくさんのことを共有し、何気ない日々を一緒に大切にしたい」と、笑顔でお話しくださいました。
感性豊かで居心地の良い空気感が魅力的な方なお人柄にぜひ触れてみてください。
</t>
  </si>
  <si>
    <t>落ち着いた雰囲気と親しみやすい笑顔が印象的な方です。
ご自身の技術が世界中で活用されていることをさりげなく話される姿勢から、着実に努力を積み重ねてこられたことが伝わってきました。
自動車のエンジン制御開発を専門にされ、日々新たな技術の探求や、次世代への貢献にも情熱を注いでいらっしゃいます。
ドライブや神社・仏閣めぐりなど、心落ち着く趣味を大切にしつつ、一緒に楽しいひとときを過ごすことにこだわりがあり、居酒屋での語らいを愉しんでいるそうです。
最近は海外旅行も始め、幅広く新しい体験にも前向きな姿勢を持っておられます。
日常の中で大切にしたいのは、お互いを思いやりながら、話し合い、出かけたり食事をする自然なひとときだとお話しくださいました。
ご縁や出会いを何より大切にされ、家庭を築く未来に向けて新しい経験を分かち合いたいと静かに語られる姿がとても印象的でした。
温かく実直なお人柄にぜひ触れてみてください。</t>
  </si>
  <si>
    <t>■担当者紹介文_評価シート（実験No：Tes-F）</t>
  </si>
  <si>
    <t>Rec-07</t>
  </si>
  <si>
    <t>＃命令文
「# 基本ルール」「# 文章構成」から担当者紹介文を作成してください。
生成する際は、箇条書きの文章と平文の2つを生成すること。ただし、中身は同じものとしてください。
正しさと統一感があり信頼できる文章であること、また変化があり読み手のイメージを膨らませる文章であることが望ましいです。
なお、「# チェック項目」にあるすべての項目をクリアした紹介文を生成すること。
担当者紹介文を生成したのち、チェック項目に沿って出ているか、○×で答えたものも出力してください。
また、そう判断した理由も教えてください。
# 基本ルール
1. 箇条書きも平文もどちらも440字以上～470字以下で生成すること。
　ひらがな、カタカナ、漢字、英数字、記号、スペース、1回の改行をすべて1文字とし、総文字数をカウントする。
2. 名前は、ファーストネームのひらがな＋様で表記する。※カタカナ・漢字はNG
3. 紹介文の最初に、【会員様と初めて話した時に直観的に感じた印象や雰囲気は？】と絡めて「・・・な●●様」「・・・な印象の●●様」と担当者からの印象で紹介を始める。尚、初めて話した時、などの時節説明はいらない。
4. 印象や雰囲気を記述する際、「男性です」「女性です」と表現せず、「・・・方です」「・・・をお持ちです」といった表現をランダムに記載すること。
5. 箇条書きと、箇条書きを平文化した文章の2つを生成すること。
6. 箇条書きの場合、文頭は中黒「・」で統一する。
7. 平文を生成する際は、箇条書きから中黒「・」とり、自然な接続詞を用いるが、冗長にならないように簡潔に書くこと。
8. 平文生成時は一文ごとに改行すること。
9. 話し言葉を避ける。
10. 並列表現をしない。ただし、単語レベルではOK（文章レベルはNG）
11. 過剰な美化語を使用しない。
12.職業や趣味については、単なる事実の羅列ではなく、その人の価値観や人柄が伝わるように記述すること。
13.追加質問の内容はすべてテキストに含めること
14.追加質問の【担当者目線での会員様の魅力は？】の内容がテキスト内に含められなかった場合、【会員様と初めて話した時に直観的に感じた印象や雰囲気は？】の内容とまとめて記載すること。
15.仕事や業務に関して記述する際、抽象的・ビジネス評価的な言葉（尊重、尊敬、信頼、評価、印象的、優秀、リーダーシップなど）は使わず、仕事での行動や人柄を日常的な言葉で表現すること。
16. 年齢や身長といった具体的な数字はいれないこと。
17. 最後の文章は、文末は「・・・な●●様にぜひお会いになってみてください」「・・・と、●●様はお話しくださいました」「・・・なお人柄にぜひ触れてみてください」「・・・な、家庭を築かれるでしょう」「・・・ことでしょう」をランダムに記載する"
# 文章構成
①担当者からの印象
・顔を合わせたときに向けてくださる、優しいまなざしの笑顔が印象的な●●●様。
・色白でかわいらしい顔立ちの●●●様。やわらかい目元が印象的で穏やかな雰囲気をお持ちの方です。
・特に女性の場合：清楚で可愛らしい●●●様。温かな眼差しでお話しくださる空間が心地よく、自然とこちらまで笑顔にさせてくださる気遣いのできる方です。
・特に男性の場合：爽やかな笑顔が素敵な●●●様。質問に対しても丁寧にお話しくださるお姿から、誠実で温和なお人柄を感じます。
②仕事
・現在は〇〇の仕事に就かれ、日々〇〇に取り組んでいらっしゃいます。
・お仕事は子供服の接客販売をされています。
③仕事のやりがい・職場関係
・職場では、仕事のご相談を受けることが多く、できる限り時間をつくって話に耳を傾けていらっしゃることからも、誠実なお人柄を感じました。
④趣味・休日の過ごし方
・ご趣味はアウトドアが多いそうですが、ご自宅では、料理をつくる機会が増え、色々な料理にチャレンジされていらっしゃいます。
⑤エピソード
・学生時代のご友人とは今でも親交があり、部活動で励んでいたバドミントンや避暑地でのキャンプなどを一緒に楽しまれるそうです。
⑥未来像
・ご結婚後は、「お互いの趣味を共有して、お相手と一緒に日常生活を楽しめる工夫をしていきたいです」と笑顔でお話しくださいました。
#チェック項目
1. 箇条書きも平文もどちらも440字以上～470字以下で生成すること。
　ひらがな、カタカナ、漢字、英数字、記号、スペース、1回の改行をすべて1文字とし、総文字数をカウントする。
2. 名前は、ファーストネームのひらがな＋様で表記する。※カタカナ・漢字はNG
3. 紹介文の最初に、【会員様と初めて話した時に直観的に感じた印象や雰囲気は？】と絡めて「・・・な●●様」「・・・な印象の●●様」と担当者からの印象で紹介を始める。尚、初めて話した時、などの時節説明はいらない。
4. 印象や雰囲気を記述する際、「男性です」「女性です」と表現せず、「・・・方です」「・・・をお持ちです」といった表現をランダムに記載すること。
5. 箇条書きと、箇条書きを平文化した文章の2つを生成すること。
6. 箇条書きの場合、文頭は中黒「・」で統一する。
7. 平文を生成する際は、箇条書きから中黒「・」とり、自然な接続詞を用いるが、冗長にならないように簡潔に書くこと。
8. 平文生成時は一文ごとに改行すること。
9. 話し言葉を避ける。
10. 並列表現をしない。ただし、単語レベルではOK（文章レベルはNG）
11. 過剰な美化語を使用しない。
12.職業や趣味については、単なる事実の羅列ではなく、その人の価値観や人柄が伝わるように記述すること。
13.追加質問の内容はすべてテキストに含めること
14.追加質問の【担当者目線での会員様の魅力は？】の内容がテキスト内に含められなかった場合、【会員様と初めて話した時に直観的に感じた印象や雰囲気は？】の内容とまとめて記載すること。
15.仕事や業務に関して記述する際、抽象的・ビジネス評価的な言葉（尊重、尊敬、信頼、評価、印象的、優秀、リーダーシップなど）は使わず、仕事での行動や人柄を日常的な言葉で表現すること。
16. 年齢や身長といった具体的な数字はいれないこと。
17. 最後の文章は、文末は「・・・な●●様にぜひお会いになってみてください」「・・・と、●●様はお話しくださいました」「・・・なお人柄にぜひ触れてみてください」「・・・な、家庭を築かれるでしょう」「・・・ことでしょう」をランダムに記載する</t>
  </si>
  <si>
    <t>【会員様のファーストネーム（ひらがな）】	さとう
【会員様と初めて話した時に直観的に感じた印象や雰囲気は？】	明るい、快活
【仕事で「好きだ」「やりがいを感じる」と話していたこと、または「担当者からの印象」は？】	レストランの現場運営、仕事の流れがわかり前向きに
【趣味や休日の過ごし方の中で、どんな時に楽しそうに話していましたか？】	平日は友人と食事・事務、休日は家でゆっくり
【会員様との会話で感じた、優しさ・思いやり・その他の印象に残ったポイントは？】	高校の時に1年間ニュージーランド留学
【結婚後の夢・続けたいこと・一緒にやりたいことなど】	気持ちをオープンに、共に助け合って行ける
【会員様が結婚生活で大事にしたいことは？】	お互いの時間も大切に
【担当者目線での会員様の魅力は？】	優しくて温厚</t>
  </si>
  <si>
    <t>【会員様のファーストネーム（ひらがな）】	たなか
【会員様と初めて話した時に直観的に感じた印象や雰囲気は？】	優しく温かい雰囲気
【仕事で「好きだ」「やりがいを感じる」と話していたこと、または「担当者からの印象」は？】	入院されていた子供達から「楽しかった」と手紙を貰うこと、元気に退院出来た時
【趣味や休日の過ごし方の中で、どんな時に楽しそうに話していましたか？】	お菓子作り、ピアノ
【会員様との会話で感じた、優しさ・思いやり・その他の印象に残ったポイントは？】	仕事が忙しい中でもわかりやすく説明することを心がけている
【結婚後の夢・続けたいこと・一緒にやりたいことなど】	
【会員様が結婚生活で大事にしたいことは？】	好きなものや楽しかったことを共有したい
【担当者目線での会員様の魅力は？】	話しやすく、居心地がいい、ユーモアがある</t>
  </si>
  <si>
    <t>【会員様のファーストネーム（ひらがな）】	やまだ
【会員様と初めて話した時に直観的に感じた印象や雰囲気は？】	凛とした美しさ、終始笑顔
【仕事で「好きだ」「やりがいを感じる」と話していたこと、または「担当者からの印象」は？】	職場の人間関係に恵まれている、ストレスフリー、仕事を続けたい
【趣味や休日の過ごし方の中で、どんな時に楽しそうに話していましたか？】	アクティブ、様々なコミュニティ
【会員様との会話で感じた、優しさ・思いやり・その他の印象に残ったポイントは？】	心身共に健康を大切にしている
【結婚後の夢・続けたいこと・一緒にやりたいことなど】	美味しい食事や旅行に行きたい
【会員様が結婚生活で大事にしたいことは？】	何でも気兼ねなく話せる
【担当者目線での会員様の魅力は？】	楽観的、好奇心旺盛、穏やか、芯の強さ</t>
  </si>
  <si>
    <t>【会員様のファーストネーム（ひらがな）】	すずき
【会員様と初めて話した時に直観的に感じた印象や雰囲気は？】	明るい笑顔、優しい雰囲気
【仕事で「好きだ」「やりがいを感じる」と話していたこと、または「担当者からの印象」は？】	人との関わりを楽しむ、コミュニケーションが円滑になるように気遣う
【趣味や休日の過ごし方の中で、どんな時に楽しそうに話していましたか？】	自宅でのんびり、散歩・ハイキングでリフレッシュ
【会員様との会話で感じた、優しさ・思いやり・その他の印象に残ったポイントは？】	笑顔を絶やすことが無い
【結婚後の夢・続けたいこと・一緒にやりたいことなど】	旅行、美味しいものを一緒に
【会員様が結婚生活で大事にしたいことは？】	お互いを大切にして思いやる
【担当者目線での会員様の魅力は？】	親しみやすく、気さくな人柄</t>
  </si>
  <si>
    <t>・明るく快活な印象のさとう様。
・優しい雰囲気とともに、話を聞いていると自然に気持ちが和らぐような方です。
・サービス業で、レストランの現場運営に携わっており、仕事の流れをしっかりと把握しながら前向きに業務に取り組まれています。
・同僚から相談を受ける機会も多く、適切にアドバイスをされる姿勢からも、周囲への気配りと温厚な人柄が伝わってきます。
・休日はスポーツジムや食べ歩き、国内旅行、DVDや音楽鑑賞など多彩に楽しまれており、旅行の際は事前にしっかり調べてフリープランで行動を楽しまれるなど、計画性と柔軟さをお持ちの方です。
・平日はご友人と外食やジムに出かけ、休日は自宅でリラックスする時間も大切にされています。
・高校時代にはニュージーランド留学を経験し、広い視野とオープンな気持ちを大切にされていることが印象的です。
・ご結婚後は、「気持ちをオープンに、助け合いながら歩んでいきたい」と語るさとう様にぜひお会いになってみてください。</t>
  </si>
  <si>
    <t>・優しく温かい雰囲気が印象的なたなか様。
・穏やかな口調で接してくださり、自然とまわりもリラックスできる空気をお持ちの方です。
・医療福祉業界で看護業務に従事され、忙しい日々の中でも患者様やご家族に分かりやすく説明することを大切にされています。
・入院中の子供たちから「楽しかった」と手紙をもらうことや、元気に退院出来た瞬間に特にやりがいを感じられるそうです。
・休日はピアノやウクレレの演奏、水族館巡り、お菓子作り、食べ歩きなどを楽しまれており、ピアノはクラシックだけでなくゲーム音楽やネタ曲も演奏されるなど幅広く楽しんでいらっしゃいます。
・お菓子はプレゼントして喜ばれることに幸せを感じ、楽しいことや笑えることを常に大切にしている姿が魅力的です。
・サンリオの小物を使うほど昔から好きなモノを大切にし、ゲームや漫画も日常の楽しみにされています。
・結婚後は好きなものや楽しかったことを共有し、日常生活の中で感動や笑顔を分かち合える関係を築きたいと、たなか様はお話しくださいました。</t>
  </si>
  <si>
    <t>・凛とした美しさと終始笑顔が印象的なやまだ様。
・その場を優しく包みこむ空気をお持ちで、話をしていると穏やかな気持ちになります。
・金融業界のサービス職として事務に従事され、職場では良好な人間関係に恵まれながらストレスフリーな環境で、日々の業務に楽しみを見出して過ごされています。
・美味しいご飯やお酒を楽しみつつリラックスした雰囲気を大切にされており、休日には食べ歩きやスイーツ巡り、温泉地や神社仏閣への足を運ぶなど、多岐にわたる趣味を持つアクティブな方です。
・野球やサッカー観戦、ライブやコンサートを楽しんだり、犬猫と遊ぶ時間も大切にし、様々なコミュニティに参加しておられます。
・何事にも好奇心旺盛で、楽観的かつ芯の強さを備え心身の健康を大切にする姿が魅力的です。
・結婚後は、美味しい食事や旅行を一緒に楽しみ、ありがとうやごめんねを素直に伝えあい、何でも気兼ねなく話せる、安らぎある関係を築いていきたいと語ってくださいました。
・そんなやまだ様の穏やかな人柄にぜひ触れてみてください。</t>
  </si>
  <si>
    <t>・明るい笑顔と優しい雰囲気が印象的なすずき様。
・はじめて話す相手にも親しみやすく、自然と会話が弾む気さくな人柄をお持ちの方です。
・情報通信業で事務職を務めながら、人との関わりやコミュニケーションを大切にされており、仕事中も周囲と円滑にやりとりができるよう心配りをされています。
・職場では同僚との会話を楽しみながら、毎日がスムーズに進むように努めていらっしゃいます。
・趣味は食べ歩きや温泉地めぐり、ハイキングや散歩など多彩で、美味しいお料理やスイーツを心から楽しまれる姿が印象的です。
・自宅ではゆっくりと漢字パズルに取り組んだり、家事も前向きに楽しまれています。
・体を動かす時間も大切にされ、休日はハイキングや散歩でリフレッシュされています。
・ご結婚後は、お互いを思いやり一緒に旅行や美味しい食事を楽しみながら、明るく穏やかな家庭を築かれるでしょう。</t>
  </si>
  <si>
    <t>・凛とした聡明さと、にこやかな表情が印象的なたかはし様。
・話していると、品の良さと柔らかな親しみやすさが感じられる方です。
・保険業界で管理職を務められ、重い責任を感じながらも、それ以上にやりがいを見出し前向きに日々取り組まれています。
・職場では同僚としっかりとコミュニケーションをとり、状況に応じて的確に対応される姿が印象に残ります。
・趣味は愛犬との散歩や海外旅行、ライブ・コンサート鑑賞、スポーツジム通い、美味しいお料理の食べ歩きと多彩で、旅行は現地の人とのふれあいや生活を体験することを重視されています。
・休日は愛犬と癒しの時間を過ごし、友人との外食やジムで気分転換をするなど、オンオフを意識しながら充実した時間を大切にされています。
・幼少期にインターナショナルスクールで学び、社会人時代には海外転勤も経験し、柔軟で好奇心旺盛な姿勢が感じられます。
・ご結婚後はお互いの価値観を尊重し、楽しいときも辛いときも一緒に笑い合える関係を築きたいと、たかはし様はお話しくださいました。</t>
  </si>
  <si>
    <t>明るく快活な印象のさとう様。
優しい雰囲気とともに、話を聞いていると自然に気持ちが和らぐような方です。
サービス業でレストランの現場運営に携わり、仕事の流れをしっかりと把握しながら前向きに業務に取り組まれています。
同僚から相談を受ける機会も多く、適切にアドバイスをされる姿勢からも、周囲への気配りと温厚な人柄が伝わってきます。
休日はスポーツジムや食べ歩き、国内旅行、DVDや音楽鑑賞など多彩に楽しまれており、旅行の際は事前にしっかり調べてフリープランで行動を楽しまれるなど、計画性と柔軟さをお持ちの方です。
平日はご友人と外食やジムに出かけ、休日は自宅でリラックスする時間も大切にされています。
高校時代にはニュージーランド留学を経験し、広い視野とオープンな気持ちを大切にされていることが印象的です。
ご結婚後は「気持ちをオープンに、助け合いながら歩んでいきたい」と語るさとう様にぜひお会いになってみてください。</t>
  </si>
  <si>
    <t>優しく温かい雰囲気が印象的なたなか様。
穏やかな口調で接してくださり、自然とまわりもリラックスできる空気をお持ちの方です。
医療福祉業界で看護業務に従事され、忙しい日々の中でも患者様やご家族に分かりやすく説明することを大切にされています。
入院中の子供たちから「楽しかった」と手紙をもらうことや、元気に退院出来た瞬間に特にやりがいを感じられるそうです。
休日はピアノやウクレレの演奏、水族館巡り、お菓子作りや食べ歩きなどを楽しまれており、ピアノはクラシックだけでなくゲーム音楽やネタ曲も演奏されるなど幅広く楽しんでいらっしゃいます。
お菓子はプレゼントして喜ばれることに幸せを感じ、楽しいことや笑えることを常に大切にしている姿が魅力的です。
サンリオの小物を使うほど昔から好きなモノを大切にし、ゲームや漫画も日常の楽しみにされています。
結婚後は好きなものや楽しかったことを共有し、日常生活の中で感動や笑顔を分かち合える関係を築きたいと、たなか様はお話しくださいました。</t>
  </si>
  <si>
    <t>凛とした美しさと終始笑顔が印象的なやまだ様。
その場を優しく包みこむ空気をお持ちで、話をしていると穏やかな気持ちになります。
金融業界のサービス職として事務に従事され、職場では良好な人間関係に恵まれながらストレスフリーな環境で、日々の業務に楽しみを見出して過ごされています。
美味しいご飯やお酒を楽しみつつリラックスした雰囲気を大切にされており、休日には食べ歩きやスイーツ巡り、温泉地や神社仏閣への足を運ぶなど、多岐にわたる趣味を持つアクティブな方です。
野球やサッカー観戦、ライブやコンサートを楽しんだり、犬猫と遊ぶ時間も大切にし、様々なコミュニティに参加しておられます。
何事にも好奇心旺盛で、楽観的かつ芯の強さを備え心身の健康を大切にする姿が魅力的です。
結婚後は美味しい食事や旅行を一緒に楽しみ、ありがとうやごめんねを素直に伝えあい、何でも気兼ねなく話せる、安らぎある関係を築いていきたいと語ってくださいました。
そんなやまだ様の穏やかな人柄にぜひ触れてみてください</t>
  </si>
  <si>
    <t>明るい笑顔と優しい雰囲気が印象的なすずき様。
はじめて話す相手にも親しみやすく、自然と会話が弾む気さくな人柄をお持ちの方です。
情報通信業で事務職を務めながら、人との関わりやコミュニケーションを大切にされており、仕事中も周囲と円滑にやりとりができるよう心配りをされています。
職場では同僚との会話を楽しみながら、毎日がスムーズに進むように努めていらっしゃいます。
趣味は食べ歩きや温泉地めぐり、ハイキングや散歩など多彩で、美味しいお料理やスイーツを心から楽しまれる姿が印象的です。
自宅ではゆっくりと漢字パズルに取り組んだり、家事も前向きに楽しまれています。
体を動かす時間も大切にされ、休日はハイキングや散歩でリフレッシュされています。
ご結婚後はお互いを思いやり一緒に旅行や美味しい食事を楽しみながら、明るく穏やかな家庭を築かれるでしょう。</t>
  </si>
  <si>
    <t>凛とした聡明さと、にこやかな表情が印象的なたかはし様。
話していると、品の良さと柔らかな親しみやすさが感じられる方です。
保険業界で管理職を務められ、重い責任を感じながらも、それ以上にやりがいを見出し前向きに日々取り組まれています。
職場では同僚としっかりとコミュニケーションをとり、状況に応じて的確に対応される姿が印象に残ります。
趣味は愛犬との散歩や海外旅行、ライブ・コンサート鑑賞、スポーツジム通い、美味しいお料理の食べ歩きと多彩で、旅行は現地の人とのふれあいや生活を体験することを重視されています。
休日は愛犬と癒しの時間を過ごし、友人との外食やジムで気分転換をするなど、オンオフを意識しながら充実した時間を大切にされています。
幼少期にインターナショナルスクールで学び、社会人時代には海外転勤も経験し、柔軟で好奇心旺盛な姿勢が感じられます。
ご結婚後はお互いの価値観を尊重し、楽しいときも辛いときも一緒に笑い合える関係を築きたいと、たかはし様はお話しくださいました。</t>
  </si>
  <si>
    <t>1. 箇条書きも平文もどちらも440字以上～470字以下で生成すること。
　ひらがな、カタカナ、漢字、英数字、記号、スペース、1回の改行をすべて1文字とし、総文字数をカウントする。</t>
  </si>
  <si>
    <t>2. 名前は、ファーストネームのひらがな＋様で表記する。※カタカナ・漢字はNG</t>
  </si>
  <si>
    <t>3. 紹介文の最初に、【会員様と初めて話した時に直観的に感じた印象や雰囲気は？】と絡めて「・・・な●●様」「・・・な印象の●●様」と担当者からの印象で紹介を始める。尚、初めて話した時、などの時節説明はいらない。</t>
  </si>
  <si>
    <t>4. 印象や雰囲気を記述する際、「男性です」「女性です」と表現せず、「・・・方です」「・・・をお持ちです」といった表現をランダムに記載すること。</t>
  </si>
  <si>
    <t>5. 箇条書きと、箇条書きを平文化した文章の2つを生成すること。</t>
  </si>
  <si>
    <t>6. 箇条書きの場合、文頭は中黒「・」で統一する。</t>
  </si>
  <si>
    <t>7. 平文を生成する際は、箇条書きから中黒「・」とり、自然な接続詞を用いるが、冗長にならないように簡潔に書くこと。</t>
  </si>
  <si>
    <t>8. 平文生成時は一文ごとに改行すること。</t>
  </si>
  <si>
    <t>9. 話し言葉を避ける。</t>
  </si>
  <si>
    <t>10. 並列表現をしない。ただし、単語レベルではOK（文章レベルはNG）</t>
  </si>
  <si>
    <t>11. 過剰な美化語を使用しない。</t>
  </si>
  <si>
    <t>12.職業や趣味については、単なる事実の羅列ではなく、その人の価値観や人柄が伝わるように記述すること。</t>
  </si>
  <si>
    <t>13.追加質問の内容はすべてテキストに含めること</t>
  </si>
  <si>
    <t>14.追加質問の【担当者目線での会員様の魅力は？】の内容がテキスト内に含められなかった場合、【会員様と初めて話した時に直観的に感じた印象や雰囲気は？】の内容とまとめて記載すること。</t>
  </si>
  <si>
    <t>15.仕事や業務に関して記述する際、抽象的・ビジネス評価的な言葉（尊重、尊敬、信頼、評価、印象的、優秀、リーダーシップなど）は使わず、仕事での行動や人柄を日常的な言葉で表現すること。</t>
  </si>
  <si>
    <t>16. 年齢や身長といった具体的な数字はいれないこと。</t>
  </si>
  <si>
    <t>17. 最後の文章は、文末は「・・・な●●様にぜひお会いになってみてください」「・・・と、●●様はお話しくださいました」「・・・なお人柄にぜひ触れてみてください」「・・・な、家庭を築かれるでしょう」「・・・ことでしょう」をランダムに記載する</t>
  </si>
  <si>
    <t>【会員様のファーストネーム（ひらがな）】	こばやし
【会員様と初めて話した時に直観的に感じた印象や雰囲気は？】	朗らかな笑顔、柔らかい物腰
【仕事で「好きだ」「やりがいを感じる」と話していたこと、または「担当者からの印象」は？】	お客様から色々なお話を聴けることが楽しい、刺激になる、真摯
【趣味や休日の過ごし方の中で、どんな時に楽しそうに話していましたか？】	映画館、ジム、リフレッシュ
【会員様との会話で感じた、優しさ・思いやり・その他の印象に残ったポイントは？】	一人暮らし歴長い、料理・掃除、家事は好き
【結婚後の夢・続けたいこと・一緒にやりたいことなど】	嬉しいことや楽しいこと、お互いに正直な気持ちを伝える
【会員様が結婚生活で大事にしたいことは？】	日々の会話を大切に
【担当者目線での会員様の魅力は？】	温かみがある人柄</t>
  </si>
  <si>
    <t>【会員様のファーストネーム（ひらがな）】	いとう
【会員様と初めて話した時に直観的に感じた印象や雰囲気は？】	優しくて丁寧に話す
【仕事で「好きだ」「やりがいを感じる」と話していたこと、または「担当者からの印象」は？】	自身を持って良い商品を提供、お客様に喜んでもらえる
【趣味や休日の過ごし方の中で、どんな時に楽しそうに話していましたか？】	
【会員様との会話で感じた、優しさ・思いやり・その他の印象に残ったポイントは？】	同僚とはホームパーティーやバーベキュー
【結婚後の夢・続けたいこと・一緒にやりたいことなど】	安らげ家庭を作る
【会員様が結婚生活で大事にしたいことは？】	支えあい、寄り添い
【担当者目線での会員様の魅力は？】	素直で真面目、照れ笑いに温かい人柄を感じる</t>
  </si>
  <si>
    <t>【会員様のファーストネーム（ひらがな）】	わたなべ
【会員様と初めて話した時に直観的に感じた印象や雰囲気は？】	穏やかな笑顔、柔らかい雰囲気
【仕事で「好きだ」「やりがいを感じる」と話していたこと、または「担当者からの印象」は？】	患者さんに「先生に見つけてもらえてよかった」と言われる
【趣味や休日の過ごし方の中で、どんな時に楽しそうに話していましたか？】	家事、映画、リフレッシュ
【会員様との会話で感じた、優しさ・思いやり・その他の印象に残ったポイントは？】	美味しいお料理とのペアリング
【結婚後の夢・続けたいこと・一緒にやりたいことなど】	お相手が行きたいところにたくさん連れてってあげたい
【会員様が結婚生活で大事にしたいことは？】	今という時間を大切に
【担当者目線での会員様の魅力は？】	思慮深く聡明、親しみやす</t>
  </si>
  <si>
    <t>【会員様のファーストネーム（ひらがな）】	やまもと
【会員様と初めて話した時に直観的に感じた印象や雰囲気は？】	親しみやすい笑顔、心地よい会話
【仕事で「好きだ」「やりがいを感じる」と話していたこと、または「担当者からの印象」は？】	多くの部下、頼りがい
【趣味や休日の過ごし方の中で、どんな時に楽しそうに話していましたか？】	お買い物がてらドライブ、映画鑑賞
【会員様との会話で感じた、優しさ・思いやり・その他の印象に残ったポイントは？】	「鬼滅の刃」映画館で号泣して、他の方に気づかれない様に、走って帰った
【結婚後の夢・続けたいこと・一緒にやりたいことなど】	沢山のことを共有したい
【会員様が結婚生活で大事にしたいことは？】	共に過ごす何気ない毎日
【担当者目線での会員様の魅力は？】	感性豊か、居心地がいい</t>
  </si>
  <si>
    <t>【会員様のファーストネーム（ひらがな）】	なかむら
【会員様と初めて話した時に直観的に感じた印象や雰囲気は？】	穏やかな雰囲気、親しみやすい笑顔
【仕事で「好きだ」「やりがいを感じる」と話していたこと、または「担当者からの印象」は？】	ご自身の技術が世界中で使われている
【趣味や休日の過ごし方の中で、どんな時に楽しそうに話していましたか？】	ドライブ、神社仏閣巡り
【会員様との会話で感じた、優しさ・思いやり・その他の印象に残ったポイントは？】	次世代技術の開発にも情熱を注いでいる
【結婚後の夢・続けたいこと・一緒にやりたいことなど】	食事、ドライブなど楽しいことを共有
【会員様が結婚生活で大事にしたいことは？】	お互いを尊重する
【担当者目線での会員様の魅力は？】	出会いやご縁を大切にされている</t>
  </si>
  <si>
    <t>・朗らかな笑顔と柔らかい物腰が印象的なこばやし様。
・話をしていると温かみが伝わり、自然と心が和む空気をお持ちの方です。
・銀行業界で保険営業の仕事に従事され、お客様のお話をじっくり聴くことや様々な経験を吸収できることに楽しさや刺激を感じていらっしゃいます。
・日常では料理や掃除を楽しむなど家事全般にも前向きで、一人暮らしの経験から整理整頓や生活の工夫にも力を入れて取り組んでおられます。
・趣味はスポーツジムや映画鑑賞、食べ歩き、国内旅行など多彩で、街中を散策しながらの美味しいお店探しを特に楽しみにされています。
・休日には映画館でのリフレッシュやジムでの運動、散歩など自分なりの時間を大切にされている姿が魅力的です。
・本やYouTube、ラジオで学ぶこと、習慣づくりにも積極的で、新しいことへの好奇心と向上心が感じられます。
・ご結婚後は、日々の会話や助け合いを大切にし、素直な気持ちを伝え合いながら、居心地のよい家庭を築かれることでしょう。</t>
  </si>
  <si>
    <t>・優しく丁寧な話し方が印象的ないとう様。
・落ち着いた雰囲気で相手の気持ちに寄り添いながら穏やかに会話を進めてくださる方です。
・食料品業界で営業職として活躍し、自信を持ってお客様へ良い商品を届けること、お客様から喜びを伝えていただけることにやりがいを感じていらっしゃいます。
・同僚とはホームパーティーやバーベキューを楽しむことが多く、周囲とのつながりを大切にしています。
・趣味は国内旅行やドライブ、食べ歩きやカフェ巡り、テーマパークめぐりで、テレビや雑誌で見かけた美味しそうなお店にも足を運ぶ柔軟さと行動力をお持ちです。
・温泉が好きで、ドライブをしながら訪れる時間を大切にしており、日頃から運転をしているため助手席では安心して過ごしていただけます。
・日常的に筋トレやBBQも楽しみ、味噌ラーメンへの愛着もうかがえます。
・ご結婚後は支え合いと寄り添いを大切に、明るく安らげる家庭を作っていきたいと、いとう様の温かな人柄にぜひ触れてみてください。</t>
  </si>
  <si>
    <t>・穏やかな笑顔と柔らかい雰囲気が印象的なわたなべ様。
・話し相手の気持ちにそっと寄り添うような、安心感にあふれた方です。
・医療福祉業界で管理職としてエコー業務などに従事され、患者様から「先生に見つけてもらえてよかった」と言葉をかけられることに、特別なやりがいを感じているご様子です。
・休日はドライブや居酒屋めぐり、映画鑑賞、ショッピング、音楽を楽しむなど、多彩な趣味をもって生活に彩りを加えています。
・日帰り温泉やグランピング、コテージなど、さまざまなスタイルの旅を楽しもうとされている姿から、好奇心と柔軟さが伝わってきます。
・家事や料理も前向きに取り組まれており、美味しいお料理とのペアリングにもこだわりをお持ちです。
・神社や仏閣への興味も深く、ご朱印状を集めることや、気の向くままに音楽を聴きながらドライブする時間を大切にしていらっしゃいます。
・ご結婚後は、お相手の行きたい場所へ一緒に出かけながら、今という時間を大切に楽しさも苦しさも共有できるご家庭を築かれることでしょう。</t>
  </si>
  <si>
    <t>・親しみやすい笑顔と心地よい会話が印象的なやまもと様。
・柔らかな雰囲気で接してくださるので、誰もが自然体でいられる空気をお持ちの方です。
・電気機器業界でエンジニアとして活躍され、多くの部下に囲まれながら日々の業務に取り組まれています。
・頼りがいがありながらも、身近な人への気配りを忘れず、日常のさりげない優しさが滲み出ています。
・休日は、ドライブを楽しみながら買い物に出かけたり、居酒屋でにぎやかなひとときを過ごしたり、映画鑑賞で感性を豊かにされている様子が伝わってきます。
・最近は海外旅行にも興味を持たれ、さまざまな場所で新しい体験を大切にされています。
・「鬼滅の刃」の映画館で感動し、涙をこらえる姿に、感受性の豊かさと照れ屋な一面が感じられます。
・ご結婚後は、共に過ごす何気ない毎日のなかで多くのことを分かち合い、穏やかで心地よい家庭を築かれることでしょう。</t>
  </si>
  <si>
    <t>・穏やかな雰囲気と親しみやすい笑顔が印象的ななかむら様。
・話しやすく、会話の中でゆったりとした安心感を与えてくださる方です。
・輸送用機器業界で自動車のエンジン制御開発に携わり、ご自身の技術が世界中で活かされていることにやりがいを感じ、次世代技術の開発にも情熱を傾けて取り組んでいます。
・趣味は神社や仏閣巡り、ドライブ、国内旅行、各種コレクションや資格取得など多岐にわたり、休日にはドライブや神社仏閣巡りのお話を楽しそうにされていました。
・一緒に食事をしたり旅行へ行ったり、日々の出来事を共有することを大切にしている様子が感じられます。
・最近は海外旅行にも興味を持ち、居酒屋でのくつろいだ時間も楽しまれています。
・出会いやご縁を大切にされていることが印象に残り、周囲への思いやりや誠実さが伝わってきます。
・ご結婚後もお互いを尊重し合い、楽しいことや苦労も分かち合いながら、日々の何気ない幸せを共に感じられるなかむら様にぜひお会いになってみてください。</t>
  </si>
  <si>
    <t>朗らかな笑顔と柔らかい物腰が印象的なこばやし様。
話をしていると温かみが伝わり、自然と心が和む空気をお持ちの方です。
銀行業界で保険営業の仕事に従事され、お客様のお話をじっくり聴くことや様々な経験を吸収できることに楽しさや刺激を感じていらっしゃいます。
日常では料理や掃除を楽しむなど家事全般にも前向きで、一人暮らしの経験から整理整頓や生活の工夫にも力を入れて取り組んでおられます。
趣味はスポーツジムや映画鑑賞、食べ歩き、国内旅行など多彩で、街中を散策しながらの美味しいお店探しを特に楽しみにされています。
休日には映画館でのリフレッシュやジムでの運動、散歩など自分なりの時間を大切にされている姿が魅力的です。
本やYouTube、ラジオで学ぶこと、習慣づくりにも積極的で、新しいことへの好奇心と向上心が感じられます。
ご結婚後は日々の会話や助け合いを大切にし、素直な気持ちを伝え合いながら、居心地のよい家庭を築かれることでしょう。</t>
  </si>
  <si>
    <t>優しく丁寧な話し方が印象的ないとう様。
落ち着いた雰囲気で相手の気持ちに寄り添いながら穏やかに会話を進めてくださる方です。
食料品業界で営業職として活躍し、自信を持ってお客様へ良い商品を届けること、お客様から喜びを伝えていただけることにやりがいを感じていらっしゃいます。
同僚とはホームパーティーやバーベキューを楽しむことが多く、周囲とのつながりを大切にしています。
趣味は国内旅行やドライブ、食べ歩きやカフェ巡り、テーマパークめぐりで、テレビや雑誌で見かけた美味しそうなお店にも足を運ぶ柔軟さと行動力をお持ちです。
温泉が好きで、ドライブをしながら訪れる時間を大切にしており、日頃から運転をしているため助手席では安心して過ごしていただけます。
日常的に筋トレやBBQも楽しみ、味噌ラーメンへの愛着もうかがえます。
ご結婚後は支え合いと寄り添いを大切に、明るく安らげる家庭を作っていきたいと、いとう様の温かな人柄にぜひ触れてみてください。</t>
  </si>
  <si>
    <t>穏やかな笑顔と柔らかい雰囲気が印象的なわたなべ様。
話し相手の気持ちにそっと寄り添うような、安心感にあふれた方です。
医療福祉業界で管理職としてエコー業務などに従事され、患者様から「先生に見つけてもらえてよかった」と言われることに特別なやりがいを感じているご様子です。
休日はドライブや居酒屋めぐり、映画鑑賞、ショッピング、音楽を楽しむなど、多彩な趣味をもって生活に彩りを加えています。
日帰り温泉やグランピング、コテージなど、さまざまなスタイルの旅を楽しもうとされている姿から、好奇心と柔軟さが伝わってきます。
家事や料理も前向きに取り組まれており、美味しいお料理とのペアリングにもこだわりをお持ちです。
神社や仏閣への興味も深く、ご朱印状を集めることや、気の向くままに音楽を聴きながらドライブする時間を大切にしていらっしゃいます。
ご結婚後はお相手の行きたい場所へ一緒に出かけながら、今という時間を大切に楽しさも苦しさも共有できるご家庭を築かれることでしょう。</t>
  </si>
  <si>
    <t>親しみやすい笑顔と心地よい会話が印象的なやまもと様。
柔らかな雰囲気で接してくださるので、誰もが自然体でいられる空気をお持ちの方です。
電気機器業界でエンジニアとして活躍され、多くの部下に囲まれながら日々の業務に取り組まれています。
頼りがいがありながらも、身近な人への気配りを忘れず、日常のさりげない優しさが滲み出ています。
休日は、ドライブを楽しみながら買い物に出かけたり、居酒屋でにぎやかなひとときを過ごしたり、映画鑑賞で感性を豊かにされている様子が伝わってきます。
最近は海外旅行にも興味を持たれ、さまざまな場所で新しい体験を大切にされています。
「鬼滅の刃」の映画館で感動し、涙をこらえる姿に、感受性の豊かさと照れ屋な一面が感じられます。
ご結婚後は、共に過ごす何気ない毎日のなかで多くのことを分かち合い、穏やかで心地よい家庭を築かれることでしょう。</t>
  </si>
  <si>
    <t>穏やかな雰囲気と親しみやすい笑顔が印象的ななかむら様。
話しやすく、会話の中でゆったりとした安心感を与えてくださる方です。
輸送用機器業界で自動車のエンジン制御開発に携わり、ご自身の技術が世界中で活かされていることにやりがいを感じ、次世代技術の開発にも情熱を傾けて取り組んでいます。
趣味は神社や仏閣巡り、ドライブ、国内旅行、各種コレクションや資格取得など多岐にわたり、休日にはドライブや神社仏閣巡りのお話を楽しそうにされていました。
一緒に食事をしたり旅行へ行ったり、日々の出来事を共有することを大切にしている様子が感じられます。
最近は海外旅行にも興味を持ち、居酒屋でのくつろいだ時間も楽しまれています。
出会いやご縁を大切にされていることが印象に残り、周囲への思いやりや誠実さが伝わってきます。
ご結婚後もお互いを尊重し合い、楽しいことや苦労も分かち合いながら、日々の何気ない幸せを共に感じられるなかむら様にぜひお会いになってみてください。</t>
  </si>
  <si>
    <t>■担当者紹介文_評価シート（実験No：Tes-E）</t>
  </si>
  <si>
    <t>Rec-06</t>
  </si>
  <si>
    <t>「# 基本ルール」「# 文章構成」から担当者紹介文を作成してください。
生成する際は、箇条書きの文章と平文の2つを生成すること。ただし、中身は同じものとしてください。
正しさと統一感があり信頼できる文章であること、また変化があり読み手のイメージを膨らませる文章であることが望ましいです。
なお、「# 基本ルール」にあるすべての項目をクリアした紹介文を生成すること。
担当者紹介文を生成したのち、「# 基本ルール」のすべての項目に沿って出ているか、○×で答えたものも出力してください。
また、そう判断した理由も教えてください。
# 基本ルール
1. 箇条書きも平文もどちらも440字以上～470字以下で生成すること。
　ひらがな、カタカナ、漢字、英数字、記号、スペース、1回の改行をすべて1文字とし、総文字数をカウントする。
2. 名前は、ファーストネームのひらがな＋様で表記する。※カタカナ・漢字はNG
3. 紹介文の最初に、【会員様と初めて話した時に直観的に感じた印象や雰囲気は？】と絡めて「・・・な●●様」「・・・な印象の●●様」と担当者からの印象で紹介を始める。尚、初めて話した時、などの時節説明はいらない。
4. 箇条書きと、箇条書きを平文化した文章の2つを生成すること。
5. 箇条書きの場合、文頭は中黒「・」で統一する。
6. 平文を生成する際は、箇条書きから中黒「・」とり、自然な接続詞を用いるが、冗長にならないように簡潔に書くこと。
7. 平文生成時は一文ごとに改行すること。
8. 話し言葉を避ける。
9. 並列表現をしない。ただし、単語レベルではOK（文章レベルはNG）
10. 過剰な美化語を使用しないこと。
11.職業や趣味については、単なる事実の羅列ではなく、その人の価値観や人柄が伝わるように記述すること。
12.追加質問の内容はすべてテキストに含めること。
13.追加質問の【担当者目線での会員様の魅力は？】の内容がテキスト内に含められなかった場合、【会員様と初めて話した時に直観的に感じた印象や雰囲気は？】の内容とまとめて記載すること。
14.仕事や業務に関して記述する際、抽象的・ビジネス評価的な言葉（尊重、尊敬、信頼、評価、印象的、優秀、リーダーシップなど）は使わず、仕事での行動や人柄を日常的な言葉で表現すること。
15. 年齢や身長といった具体的な数字はいれないこと。
16. 最後の文章は、文末は「・・・な●●様にぜひお会いになってみてください」「・・・と、●●様はお話しくださいました」「・・・なお人柄にぜひ触れてみてください」「・・・な、家庭を築かれるでしょう」「・・・ことでしょう」をランダムに記載する
# 文章構成
①担当者からの印象
・顔を合わせたときに向けてくださる、優しいまなざしの笑顔が印象的な●●●様。
・色白でかわいらしい顔立ちの●●●様。やわらかい目元が印象的で穏やかな雰囲気をお持ちの方です。
・特に女性の場合：・清楚で可愛らしい●●●様。温かな眼差しでお話しくださる空間が心地よく、自然とこちらまで笑顔にさせてくださる気遣いのできる女性です。
・特に男性の場合：・爽やかな笑顔が素敵な●●●様。質問に対しても丁寧にお話しくださるお姿から、誠実で温和なお人柄を感じます。
②仕事
・現在は〇〇の仕事に就かれ、日々〇〇に取り組んでいらっしゃいます。
・お仕事は子供服の接客販売をされています。""
③仕事のやりがい・職場関係
・職場では、仕事のご相談を受けることが多く、できる限り時間をつくって話に耳を傾けていらっしゃることからも、誠実なお人柄を感じました。
④趣味・休日の過ごし方
・ご趣味はアウトドアが多いそうですが、ご自宅では、料理をつくる機会が増え、色々な料理にチャレンジされていらっしゃいます。
⑤エピソード
・学生時代のご友人とは今でも親交があり、部活動で励んでいたバドミントンや避暑地でのキャンプなどを一緒に楽しまれるそうです。
⑥未来像
・ご結婚後は、「お互いの趣味を共有して、お相手と一緒に日常生活を楽しめる工夫をしていきたいです」と笑顔でお話しくださいました。</t>
  </si>
  <si>
    <t>・明るく快活な印象のさとう様。
・清楚で可愛らしいさとう様。温かな眼差しでお話しくださる空間が心地よく、自然とこちらまで笑顔にさせてくださる気遣いのできる女性です。
・現在はサービス業に従事し、現場運営にも携わりながら、日々お仕事の流れを理解し前向きに取り組まれていらっしゃいます。
・職場では周囲の相談にも積極的に耳を傾けていらっしゃる様子から、日々の積み重ねを大切にする温厚さがうかがえました。
・ご趣味はスポーツジムや国内旅行、食べ歩き、音楽鑑賞など多彩で、特に旅行は事前の下調べを楽しみ、フリープランで自由に過ごされることがお好きなようです。
・高校時代にはニュージーランドでの留学経験もあり、異文化にも自然に馴染まれる柔軟性と好奇心をお持ちです。
・「共通の夢や努力を共有し、苦楽の中で助け合っていきたい」と穏やかに話されていた、さとう様にぜひお会いになってみてください。</t>
  </si>
  <si>
    <t>・優しく温かい雰囲気のたなか様。
・清楚で可愛らしいたなか様は、穏やかな表情と柔らかな語り口が印象的で、どんな方とも自然と心地良い距離感で接される、話しやすさとユーモアを感じさせる女性です。
・現在は医療・福祉業界で看護業務に従事され、日々忙しい中でも患者様やご家族に寄り添い、丁寧に説明することを心がけていらっしゃいます。
・特に入院していた子供達から「楽しかった」と感謝の手紙をいただいたり、退院される時の笑顔にやりがいを感じてこられたそうです。
・ご趣味はピアノやウクレレの演奏、お菓子作り、水族館巡り、食べ歩きなど多岐にわたり、楽器はクラシックからゲーム音楽まで幅広く演奏を楽しみ、お菓子はプレゼントして喜ばれるのが何よりも嬉しいと語ってくださいました。
・昔からサンリオのグッズが好きで、日常にも小物を取り入れて楽しい気分を大切にされています。
・「好きなものや楽しかったことを共有できる家庭を築きたい」と、たなか様はお話しくださいました。</t>
  </si>
  <si>
    <t>・凛とした美しさと終始笑顔が印象的なやまだ様。
・清楚で可愛らしいやまだ様は、芯の強さを感じさせつつも、穏やかで明るい雰囲気をお持ちの女性です。
・現在は金融業界でサービス職の事務を担当されており、職場の人間関係にも恵まれ、ストレスを感じず前向きに毎日を過ごされています。
・仕事を続けていきたいというお気持ちを持ちながら、日常でも心身ともに健康でいられるよう日々のリズムを大切にされているご様子です。
・ご趣味は食べ歩きやスイーツ巡り、温泉地や神社仏閣巡り、海外旅行など幅広く、アクティブにさまざまなコミュニティで過ごすことを楽しんでいらっしゃいます。
・美味しいご飯やお酒を囲みながらリラックスした雰囲気で過ごす時間や、旅行先での素敵な宿探し、料理を一緒に作ることにも興味をお持ちです。
・「ありがとうやごめんねを素直に伝え合い、笑顔と安らぎに満ちた家庭を築いていきたい」とやまだ様はお話しくださいました。</t>
  </si>
  <si>
    <t>・明るい笑顔と優しい雰囲気が印象的なすずき様。
・清楚で可愛らしいすずき様は、笑顔を絶やすことがなく、親しみやすく気さくなお人柄が周囲に温かな安心感を与える女性です。
・現在は情報通信業の事務職として勤務され、日々さまざまな方々と関わる中で、コミュニケーションが円滑になるよう丁寧な気配りを心がけていらっしゃいます。
・人との関わりを楽しみ、どんなときも前向きで柔軟な姿勢が仕事や日常の会話から伝わってきました。
・ご趣味は食べ歩きや温泉巡り、ハイキングや散歩など幅広く、体を動かすことも綺麗な景色を眺めることも心から楽しまれています。
・自宅では漢字パズルを楽しんだり、家事全般を前向きに取り組みながら休日をゆったり過ごされています。
・「お互いに思いやりを持ち、明るく穏やかな毎日を共に楽しんでいきたい」と、すずき様はお話しくださいました。</t>
  </si>
  <si>
    <t>・凛とした聡明さとにこやかさが印象的なたかはし様。
・清楚で可愛らしいたかはし様は、柔らかな笑顔と落ち着いた立ち居振る舞いの中に、内に秘めた芯の強さや柔軟な感性が感じられます。
・現在は保険業界で管理職として活躍され、日々重い責任も担いながらも、そのやりがいを積極的に受け止め、前向きに業務に取り組まれています。
・ご自身の幼少期にインターナショナルスクールへ通われた経験や、社会人として海外での転勤もあり、広い視野と語学への関心が今の生活にも活かされています。
・ご趣味は愛犬と過ごす癒しのひとときや友人との食事、海外旅行やコンサート鑑賞、スポーツジムでの運動と幅広く、現地での体験や人との交流を大切にされているお姿が印象に残ります。
・将来は海辺のセカンドハウスで過ごすことに憧れを持ち、お互いの価値観を尊重し合える関係を目指されています。
・「楽しい時も辛い時も一緒に笑い合える毎日を」と、たかはし様はお話しくださいました。</t>
  </si>
  <si>
    <t>明るく快活な印象のさとう様。
清楚で可愛らしいさとう様は、温かな眼差しでお話しくださる空間が心地よく、自然と周囲を笑顔にさせてくださる気遣いのできる女性です。
現在はサービス業で現場運営に携わりながら、日々仕事の流れを理解し前向きに取り組まれています。
職場では周囲の方々から相談を受けることも多く、その度に時間を作り耳を傾けていらっしゃる様子から、日々の積み重ねを大切にされる温厚なお人柄が伝わってきました。
ご趣味はスポーツジムや国内旅行、食べ歩き、音楽鑑賞など多岐にわたり、特に旅行は事前に下調べをし、当日は自由な計画で楽しまれています。
高校時代にニュージーランドでの留学経験もあり、異文化にも柔軟に馴染まれる好奇心をお持ちです。
「共通の夢や努力を共有し、苦楽の中で助け合いたい」と穏やかに話してくださった、さとう様にぜひお会いになってみてください。</t>
  </si>
  <si>
    <t>優しく温かい雰囲気のたなか様。
清楚で可愛らしいたなか様は穏やかな表情と柔らかな語り口が印象的で、どのような方とも自然に心地良い距離感を保ちながら接し、話しやすさと同時にユーモアも感じられる女性です。
現在は医療・福祉業界で看護業務に従事しており、忙しい日々の中でも患者様やご家族に寄り添い、わかりやすい説明を心がけていらっしゃいます。
特に入院していた子供たちから「楽しかった」と手紙をもらったり、元気に退院される姿に大きなやりがいを感じてこられたそうです。
ご趣味はピアノやウクレレの演奏、お菓子作り、水族館巡り、食べ歩きなど幅広く、楽器はクラシックだけでなくゲーム音楽やネタ曲にも親しみ、お菓子はプレゼントして喜ばれるのが嬉しいそうです。
昔からサンリオグッズが好きで、日常にも取り入れて楽しい気分を大切にされています。
「好きなものや楽しかったことを共有できる家庭を築きたい」と、たなか様はお話しくださいました。</t>
  </si>
  <si>
    <t>凛とした美しさと終始笑顔が印象的なやまだ様。
清楚で可愛らしいやまだ様は、芯の強さを感じさせながらも穏やかで明るい雰囲気を持つ女性です。
現在は金融業界でサービス職の事務に従事されており、職場の人間関係にも恵まれてストレスを感じず、前向きに日々を送られています。
仕事を続けていきたいというお気持ちを持ちつつ、日常生活の中でも心身の健康を意識して暮らしておられます。
趣味は食べ歩きやスイーツ巡り、温泉地や神社仏閣巡り、海外旅行をはじめ、多様なコミュニティへの参加を楽しんでいらっしゃるご様子です。
美味しい食事やお酒を囲んだリラックスした時間や、旅行先での素敵な宿探し、一緒に料理を作ることにも関心を持たれています。
「ありがとうやごめんねを素直に伝え合い、笑顔と安らぎに満ちた家庭を築きたい」と、やまだ様はお話しくださいました。</t>
  </si>
  <si>
    <t>明るい笑顔と優しい雰囲気が印象的なすずき様。
清楚で可愛らしいすずき様は、笑顔を絶やすことがなく、親しみやすく気さくなお人柄が周囲に温かな安心感を与える女性です。
現在は情報通信業の事務職として勤務されており、日々さまざまな方々と関わる中で、コミュニケーションが円滑になるよう丁寧な気配りを心がけていらっしゃいます。
人との関わりを楽しみ、どんなときも前向きで柔軟な姿勢が仕事や日常の会話から感じられました。
趣味は食べ歩きや温泉巡り、ハイキングや散歩など幅広く、体を動かすことも綺麗な景色を眺めることも心から楽しまれています。
自宅では漢字パズルや家事に前向きに取り組みつつ、休日をゆったり過ごされているご様子です。
「お互いに思いやりを持ち、明るく穏やかな毎日を共に楽しんでいきたい」と、すずき様はお話しくださいました。</t>
  </si>
  <si>
    <t xml:space="preserve">凛とした聡明さとにこやかさが印象的なたかはし様。
清楚で可愛らしいたかはし様は、柔らかな笑顔と落ち着いた立ち居振る舞いの中に、内なる芯の強さと柔軟な感性を感じさせる女性です。
現在は保険業界で管理職を担い、重い責任がある中でもやりがいをしっかり受け止め、前向きに業務に取り組まれています。
幼少期にインターナショナルスクールで過ごされ、社会人として海外赴任の経験もあり、その広い視野と語学力は今も活かされています。
愛犬との癒しの時間や友人との食事、海外旅行やコンサート鑑賞、スポーツジムと趣味も幅広く、現地での体験や人との交流を特に大切にされています。
将来は海辺のセカンドハウスで過ごすことに憧れ、お互いの価値観を尊重し合いたいと思い描いていらっしゃいます。
「楽しい時も辛い時も一緒に笑い合える毎日を」と、たかはし様はお話しくださいました。
</t>
  </si>
  <si>
    <t>1. 箇条書きも平文もどちらも420字以上～480字以下で生成すること。　ひらがな、カタカナ、漢字、英数字、記号、スペース、1回の改行をすべて1文字とし、総文字数をカウントする。</t>
  </si>
  <si>
    <t>3. 紹介文の中に必ず名前を1回入れる。</t>
  </si>
  <si>
    <t>6. 平文を生成する際は、箇条書きから中黒「・」とり、自然な接続詞を用いるが、冗長にならないように簡潔に書くこと。</t>
  </si>
  <si>
    <t>10. 過剰な美化語を使用しないこと。</t>
  </si>
  <si>
    <t>12.追加質問の内容はすべてテキストに含めること。</t>
  </si>
  <si>
    <t>16. 最後の文章は、文末は「・・・な●●様にぜひお会いになってみてください」「・・・と、●●様はお話しくださいました」「・・・なお人柄にぜひ触れてみてください」「・・・な、家庭を築かれるでしょう」「・・・ことでしょう」をランダムに記載する</t>
  </si>
  <si>
    <t>・朗らかな笑顔と柔らかい物腰が印象的なこばやし様。
・爽やかな笑顔が素敵なこばやし様は、初対面でも温かみのある人柄が伝わり、穏やかな雰囲気で周りを和ませてくれる男性です。
・現在は銀行業で保険の営業職に従事されており、お客様と向き合いながら多くのお話を聴くことや経験を通して、日々新たな刺激を得ておられます。
・真摯な姿勢で仕事に取り組みながら、一人暮らし歴も長く、料理や掃除など家事にも前向きに取り組まれている様子が印象に残ります。
・ご趣味はスポーツジムや映画鑑賞、食べ歩き、国内旅行など多彩で、街を散策しながらお店を見つけることや、映画館での時間、日常のリフレッシュを大事にされています。
・今後は神社仏閣やお城巡りなど歴史を感じる場所にも関心を持ち、居心地のよい家庭を目指して「日々の会話や助け合いを大切にしたい」と語ってくださいました。
・こばやし様の温かく誠実なお人柄にぜひ触れてみてください。</t>
  </si>
  <si>
    <t>・優しくて丁寧に話す姿が印象的ないとう様。
・爽やかな笑顔が素敵ないとう様は、落ち着いた物腰と素直で真面目な姿勢が際立ち、照れ笑いに人柄の温かさがにじみ出る男性です。
・現在は食料品業界の営業職として、自信を持って良い商品をお届けし、お客様に喜んでもらえることにやりがいを見出し、日々前向きに取り組まれています。
・同僚とはホームパーティーやバーベキューでも積極的に交流され、明るく周囲とのつながりを大切にされているご様子です。
・ご趣味は国内旅行やドライブ、カフェ巡りやテーマパークで過ごすことに加え、時間が取れれば美味しいお店に足を運び、筋トレやゴルフも楽しまれています。
・運転が得意で、温泉などへのドライブの際は「安心して助手席に座ってください」とにこやかに話されていました。
・「支え合い、寄り添いながら安らげる家庭をともに築いていきたい」と、いとう様はお話しくださいました。</t>
  </si>
  <si>
    <t>・穏やかな笑顔と柔らかい雰囲気が印象的なわたなべ様。
・爽やかな笑顔が素敵なわたなべ様は、思慮深さと親しみやすさをあわせ持ち、どんな会話でも相手に安心感を与える穏やかな男性です。
・現在は医療・福祉業界で管理職として勤務され、エコー業務など幅広く担当し、患者さんから「先生に見つけてもらえてよかった」と言われる瞬間に強いやりがいを感じていらっしゃいます。
・休日はドライブや映画鑑賞、居酒屋めぐり、ショッピング、音楽を聴きながらのリフレッシュなど多彩な楽しみを持ち、家でも家事に積極的に取り組みながら新旧問わず映画鑑賞を大切にされています。
・温泉やグランピング、コテージでの体験も楽しみ、美味しい料理とのペアリングを味わい、神社や仏閣で御朱印を集めるなど、日々の好奇心を大切にされています。
・「今この時間を大切にし、お相手が行きたいところへたくさん連れて行ってあげたい」と、わたなべ様はお話しくださいました。</t>
  </si>
  <si>
    <t>・親しみやすい笑顔と心地よい会話が印象的なやまもと様。
・爽やかな笑顔が素敵なやまもと様は、温かみと感性の豊かさを持ち、自然と周囲を和ませる雰囲気のある男性です。
・現在は電気機器業界の専門職エンジニアとして、多くの部下とともに日々の業務に取り組まれ、頼りがいのある姿勢で仕事を進めていらっしゃいます。
・趣味は居酒屋めぐりやドライブ、映画鑑賞、国内外の旅行まで幅広く、特に映画では感動して涙を流すほど物語やその場の空気に心を動かされています。
・休日はお買い物がてらのドライブや映画館での時間を楽しみ、仲間や身近な人と過ごすことに幸せを感じておられます。
・「一緒に食事や旅行、日々の時間を共有することを大切にしたい」と温かな心を語られ、気づかいと優しさ、そして日常を宝物とされる方です。
・穏やかで感性豊かなやまもと様の居心地のよさに、ぜひ触れてみてください。</t>
  </si>
  <si>
    <t>・穏やかな雰囲気と親しみやすい笑顔が印象的ななかむら様。
・爽やかな笑顔が素敵ななかむら様は、出会いやご縁を大切にされ、誰とでも自然体で心地良くお話しできる温かさが感じられる男性です。
・現在は輸送用機器業界で自動車のエンジン制御開発の専門職として活躍され、ご自身の技術が世界中で使われることに喜びとやりがいを感じておられます。
・次世代技術の開発にも情熱を注ぎ、技術者として社会への貢献を日々意識して取り組まれています。
・ご趣味は神社仏閣巡りやドライブ、国内旅行、収集や製作など多彩で、休日には歴史や風景に癒されながら心豊かな時間を楽しまれているご様子が印象的です。
・今後はお相手と一緒に食事をしたり出かけたり、さまざまな楽しい時間を共有することを夢見ていらっしゃいます。
・「お互いを尊重し合いながら、日々の時間を大切にしたい」と、なかむら様はお話しくださいました。</t>
  </si>
  <si>
    <t>朗らかな笑顔と柔らかい物腰が印象的なこばやし様。
爽やかな笑顔が素敵なこばやし様は、初対面でも温かみのある人柄が伝わり、穏やかな雰囲気で周囲を和ませてくださる男性です。
現在は銀行業で保険の営業職に従事し、お客様と向き合いながらさまざまなお話を伺うことに楽しさと刺激を感じておられます。
真摯な姿勢で仕事に向き合い、一人暮らしの経験を活かして料理や掃除など家事にも継続的に取り組むことを大切にされています。
ご趣味はスポーツジムや映画鑑賞、食べ歩き、国内旅行と幅広く、街を散策して新しいお店に出会う喜びや映画館で過ごすひととき、日常のリフレッシュを重視されています。
今後は神社仏閣やお城巡りなど歴史に触れることにも関心を持ち、家庭では日々の会話や助け合いを大切にしたいと語ってくださいました。
こばやし様の温かく誠実なお人柄にぜひ触れてみてください。</t>
  </si>
  <si>
    <t>優しくて丁寧に話す姿が印象的ないとう様。
爽やかな笑顔が素敵ないとう様は、落ち着いた物腰と素直で真面目な姿勢が際立ち、照れ笑いに温かい人柄を感じさせる男性です。
現在は食料品業界の営業職として、自信を持って良い商品をお客様に提供し、その喜びや反応にやりがいを感じながら、前向きな姿勢で仕事に取り組まれています。
同僚とのホームパーティーやバーベキューなどの交流にも積極的で、周囲との温かなつながりを大切にされています。
趣味は国内旅行やドライブ、カフェやテーマパーク巡りと多彩で、時間を見つけて美味しいお店に足を運ぶことや、筋トレやゴルフも楽しまれています。
運転が得意で温泉にもドライブしており、「安心して助手席に座ってください」と微笑まれていました。
「支え合い、寄り添いながら安らげる家庭をともに築いていきたい」と、いとう様はお話しくださいました。</t>
  </si>
  <si>
    <t>穏やかな笑顔と柔らかい雰囲気が印象的なわたなべ様。
爽やかな笑顔が素敵なわたなべ様は、思慮深さと親しみやすさをあわせ持ち、会話を通じて相手に安心感を与える穏やかな男性です。
現在は医療・福祉業界で管理職としてご活躍されており、エコー業務を中心に幅広く従事しながら、患者さんから「先生に見つけてもらえてよかった」と感謝される瞬間にやりがいを感じていらっしゃいます。
休日はドライブや映画鑑賞、居酒屋めぐり、ショッピング、音楽を聴きながら新旧にこだわらない映画鑑賞など多彩な趣味を楽しみ、家事にも積極的に取り組まれています。
温泉やグランピング、コテージでの体験や神社や仏閣での御朱印集め、美味しい料理とのペアリングも大切にされています。
「今という時間を大切にし、お相手が行きたいところへたくさん連れて行ってあげたい」と、わたなべ様はお話しくださいました。</t>
  </si>
  <si>
    <t>親しみやすい笑顔と心地よい会話が印象的なやまもと様。
爽やかな笑顔が素敵なやまもと様は、温かみと感性の豊かさを持ち、自然と周囲を和ませる雰囲気のある男性です。
現在は電気機器業界の専門職エンジニアとして多くの部下と共に日々業務に励み、頼りがいのある姿勢で仕事を進めています。
趣味は居酒屋めぐりやドライブ、映画鑑賞、国内外の旅行など多彩で、とくに映画館では感動し涙を流すこともあるほど物語を深く味わっています。
休日はお買い物がてらのドライブや映画館での時間を楽しみ、身近な人とひとときを分かち合うことに幸せを感じておられます。
「一緒に食事や旅行、日々の時間を大切にしていきたい」と温かな心を語られ、何気ない毎日を宝物のように大切にされる方です。
穏やかで感性豊かなやまもと様の居心地のよさに、ぜひ触れてみてください。</t>
  </si>
  <si>
    <t>穏やかな雰囲気と親しみやすい笑顔が印象的ななかむら様。
爽やかな笑顔が素敵ななかむら様は、出会いやご縁を大切にされるお人柄で、誰とでも自然体で心地よく会話を楽しめる温かさを持った男性です。
現在は輸送用機器業界で自動車のエンジン制御開発の専門職として働き、ご自身の技術が世界中で使われていることに誇りとやりがいを持って取り組まれています。
次世代技術の開発へも熱意を注ぎ、仕事を通じて社会貢献を目指しているご様子が印象に残ります。
ご趣味は神社仏閣巡りやドライブ、国内旅行、収集・製作と幅広く、休日は歴史や風景に癒されながらゆったりと過ごされています。
今後はお相手と一緒に食事やドライブなど、楽しい時間をたくさん共有したいと話されていました。
「お互いを尊重し合いながら、日々の時間を大切にしたい」と、なかむら様はお話しくださいました。</t>
  </si>
  <si>
    <t>■担当者紹介文_評価シート（実験No：Tes-D）</t>
  </si>
  <si>
    <t>Rec-05</t>
  </si>
  <si>
    <t>「基本ルール」「文章構成」から担当者紹介文を作成してください。
生成する際は、箇条書きの文章と平文の2つを生成すること。ただし、中身は同じものとしてください。
正しさと統一感があり信頼できる文章であること、また変化があり読み手のイメージを膨らませる文章であることが望ましいです。
なお、「チェック項目」にあるすべての項目をクリアした担当者紹介文を生成すること。
担当者紹介文を生成したのち、チェック項目に沿って出ているか、○×で答えたものも出力してください。
また、そう判断した理由も教えてください。
■基本ルール
1. 400以上～460文字以下で文章を生成する。
　・ひらがな、カタカナ、漢字、英数字、記号、スペース、1回の改行をすべて1文字とし、総文字数をカウントする。
2. 名前は、ファーストネームのひらがな＋様で表記する。※カタカナ・漢字はNG
3. 紹介文の中に必ず名前を1回入れる。
4. 箇条書きと、箇条書きを平文化した文章の2つを生成すること。
5. 箇条書きの場合、文頭は中黒「・」で統一する。
6. 平文を生成する際は、箇条書きから中黒「・」とったものを生成すること。また、改行をしてください。
　・ただし、平文に限り、自然な接続詞や表現を用いて各文章間を滑らかにつなげること
7. 話し言葉を避ける。
8. 並列表現をしない。ただし、単語レベルではOK（文章レベルはNG）
9. 過剰な美化語を使用しない。
10. 文末は、「ぜひお会いになってみてください」「と、お話しくださいました」「ぜひお人柄に触れてみてください」「・・・・な、家庭を築かれるでしょう」「・・・ことでしょう」をランダムに記載する
11.根拠のない創作は禁止。事実が不足する場合は、他の回答から推測できる範囲で自然に補完すること。
12.職業や趣味については、単なる事実の羅列ではなく、その人の価値観や人柄が伝わるように記述すること。
■文章構成
①担当者からの印象
・顔を合わせたときに向けてくださる、優しいまなざしの笑顔が印象的な●●●様。
・色白でかわいらしい顔立ちの●●●様。やわらかい目元が印象的で穏やかな雰囲気をお持ちの方です。
・特に女性の場合：・清楚で可愛らしい●●●様。温かな眼差しでお話しくださる空間が心地よく、自然とこちらまで笑顔にさせてくださる気遣いのできる女性です。
・特に男性の場合：・爽やかな笑顔が素敵な●●●様。質問に対しても丁寧にお話しくださるお姿から、誠実で温和なお人柄を感じます。
②仕事
・現在は〇〇の仕事に就かれ、日々〇〇に取り組んでいらっしゃいます。
・お仕事は子供服の接客販売をされています。""
③仕事のやりがい・職場関係
・職場では、仕事のご相談を受けることが多く、できる限り時間をつくって話に耳を傾けていらっしゃることからも、誠実なお人柄を感じました。
④趣味・休日の過ごし方
・ご趣味はアウトドアが多いそうですが、ご自宅では、料理をつくる機会が増え、色々な料理にチャレンジされていらっしゃいます。
⑤エピソード
・学生時代のご友人とは今でも親交があり、部活動で励んでいたバドミントンや避暑地でのキャンプなどを一緒に楽しまれるそうです。
⑥未来像
・ご結婚後は、「お互いの趣味を共有して、お相手と一緒に日常生活を楽しめる工夫をしていきたいです」と笑顔でお話しくださいました。"
■チェック項目
1. 400以上～460文字以下で文章を生成する。
　・ひらがな、カタカナ、漢字、英数字、記号、スペース、1回の改行をすべて1文字とし、総文字数をカウントする。
2. 名前は、ファーストネームのひらがな＋様で表記する。※カタカナ・漢字はNG
3. 紹介文の中に必ず名前を1回入れる。
4. 箇条書きと、箇条書きを平文化した文章の2つを生成すること。
5. 箇条書きの場合、文頭は中黒「・」で統一する。
6. 平文を生成する際は、箇条書きから中黒「・」とったものを生成すること。また、改行をしてください。
　・ただし、平文に限り、自然な接続詞や表現を用いて各文章間を滑らかにつなげること
7. 話し言葉を避ける。
8. 並列表現をしない。ただし、単語レベルではOK（文章レベルはNG）
9. 過剰な美化語を使用しない。
10. 文末は、「ぜひお会いになってみてください」「と、お話しくださいました」「ぜひお人柄に触れてみてください」「・・・・な、家庭を築かれるでしょう」「・・・ことでしょう」をランダムに記載する
11.根拠のない創作は禁止。事実が不足する場合は、他の回答から推測できる範囲で自然に補完すること。
12.職業や趣味については、単なる事実の羅列ではなく、その人の価値観や人柄が伝わるように記述すること。</t>
  </si>
  <si>
    <t>・明るく快活な雰囲気が印象的なさとう様は、顔を合わせた瞬間から優しさと温厚さが感じられる方です。
・現在はサービス業に従事され、レストランの現場運営を担当される中、仕事の流れをしっかりと把握し、前向きな姿勢で取り組まれるところが魅力です。
・職場では周囲からの信頼を集めており、ご相談が寄せられることも多く、相手の話に丁寧に耳を傾ける姿が周囲にも安心感を与えているようです。
・ご趣味はスポーツジムや食べ歩き、国内旅行、DVD鑑賞、音楽鑑賞など多岐にわたりますが、ガイドブック等でしっかりと計画や下調べをした上で、当日は自由に楽しむことを大切にされています。
・高校時代にはニュージーランド留学の経験があり、新しい環境にも積極的に挑戦されるご様子がうかがえます。
・ご結婚後はお互いの時間も尊重しながら、気持ちをオープンにし、助け合って日々を過ごしていける関係を大切にしたいとお話しくださいました。（399文字）</t>
  </si>
  <si>
    <t>・清楚で可愛らしいたなか様。
・初めてお会いした際、優しく温かい雰囲気に自然と惹きこまれ、穏やかなお人柄が印象的でした。
・現在は医療・福祉業界で専門職として看護業務に従事されており、日々患者様やご家族に丁寧なサポートを提供されています。
・入院中のお子様から「楽しかった」と手紙をもらうことや元気に退院される瞬間にやりがいを感じ、忙しいなかでも分かりやすい説明を心がけている誠実さが伝わってきます。
・ご趣味はピアノやお菓子作り、ウクレレ、水族館めぐり、食べ歩きなど多岐にわたり、クラシックやゲーム音楽も演奏されるなど、楽しいことを大切にされている様子が感じられます。
・お菓子作りではプレゼントして喜ばれることが嬉しいそうで、その優しい心遣いに周囲も温かい気持ちになります。
・学生時代から好きだったサンリオの小物を今も愛用し、ゲームや漫画など笑えることを大切にするユーモアや明るさも魅力です。
・ご結婚後も「日常の中で一緒に好きなことや楽しかったことを共有し、自然体で過ごせる関係を築きたいです」とお話しくださいました。（463文字）</t>
  </si>
  <si>
    <t>・凛とした美しさと、終始優しい笑顔が印象的なやまだ様。
・お仕事はその他金融業で、サービス職として事務を担当され、職場の人間関係にも恵まれストレスフリーな環境で日々を送っていらっしゃいます。
・仕事を長く続けたいという思いと同時に、周囲とのコミュニケーションを大切にされており、その穏やかな姿勢からも芯の強さや誠実さが伝わってきました。
・休日は、食べ歩きやスイーツ巡り、温泉地や神社仏閣を訪れるなどアクティブに過ごし、リラックスした雰囲気の中で美味しいご飯やお酒を楽しむ時間を大切にされています。
・学生時代のご友人や趣味を通じたコミュニティとも今も交流が続き、多彩な人との関係を楽しんでいらっしゃることが印象的でした。
・ご結婚後は、「美味しい食事や旅行で素敵な時間を一緒に重ね、何でも気兼ねなく話し合える関係を築いていきたい」とお話しくださいました。（378文字）</t>
  </si>
  <si>
    <t>・明るい笑顔が印象的なすずき様。
・初対面でもやわらかな雰囲気を感じられ、親しみやすく、自然と会話が弾む方です。
・現在は情報通信業界でOA事務に従事されており、人との関わりや円滑なコミュニケーションを大切にしながら日々取り組んでいらっしゃいます。
・職場では、同僚の相談に丁寧に耳を傾け、話しかけやすい雰囲気作りに配慮されている点からも、すずき様の思いやり深さと誠実さが伝わってきました。
・ご趣味は美味しいお料理やスイーツの食べ歩き、温泉や綺麗な景色を楽しむこと、ハイキングや散歩も積極的にされているそうです。
・ご自宅では、ゆっくりと漢字パズルに取り組む時間も大切にされており、オンとオフを上手に切り替えて過ごされています。
・学生時代のご友人との交流も続けられ、休日にはリフレッシュのための散歩やハイキングをご一緒されるエピソードが印象に残っています。
・「お互いを大切にし、思いやりをもって毎日を楽しめる関係を築きたい」と笑顔でお話しくださいました。（430文字）</t>
  </si>
  <si>
    <t>・たかはし様は、凛とした佇まいと聡明さ、そしてにこやかな表情が印象的な女性です。
・現在は保険業界の管理職としてご活躍され、責任の重さを感じつつも、それ以上にやりがいを持って業務に取り組んでいらっしゃいます。
・職場では周囲の相談にも誠実に耳を傾け、多角的な視点で解決策を見つけようとされるお姿から、柔軟で思いやりの深いお人柄が伺えます。
・休日には愛犬との散歩やスポーツジム、友人と美味しいものを食べ歩くことを楽しみにされており、オンオフを大切にされているようです。
・学生時代にインターナショナルスクールに通われたり、社会人になって海外勤務を経験されるなど、好奇心と行動力の高さも魅力です。
・ご結婚後は「楽しいときも辛いときも一緒に笑い合えるような関係を築きながら、お互いの価値観を尊重していきたい」と、笑顔でお話しくださいました。（369文字）</t>
  </si>
  <si>
    <t>明るく快活な雰囲気が印象的なさとう様は、顔を合わせた瞬間から優しさと温厚さが感じられる方です。
現在はサービス業に従事され、レストランの現場運営を担当される中、仕事の流れをしっかりと把握し、前向きな姿勢で取り組まれるところが魅力です。
職場では周囲からの信頼を集めており、ご相談が寄せられることも多く、相手の話に丁寧に耳を傾ける姿が周囲にも安心感を与えているようです。
ご趣味はスポーツジムや食べ歩き、国内旅行、DVD鑑賞、音楽鑑賞など多岐にわたりますが、ガイドブック等でしっかりと計画や下調べをした上で、当日は自由に楽しむことを大切にされています。
また、高校時代にはニュージーランド留学の経験があり、新しい環境にも積極的に挑戦されるご様子がうかがえます。
ご結婚後はお互いの時間も尊重しながら、気持ちをオープンにし、助け合って日々を過ごしていける関係を大切にしたいとお話しくださいました。（396文字）</t>
  </si>
  <si>
    <t>清楚で可愛らしいたなか様は、初対面から優しく温かい雰囲気に自然と惹きこまれる、穏やかなお人柄が印象的でした。
現在、医療・福祉業界で専門職として看護業務に従事され、患者様やご家族一人ひとりに丁寧なサポートをされていらっしゃいます。
入院中のお子様から「楽しかった」と手紙をもらうことや、元気に退院される瞬間に大きなやりがいを感じていらっしゃるそうです。
また、仕事が忙しい中でも分かりやすい説明を心がけており、誠実なお人柄が伝わってきました。
ご趣味はピアノやお菓子作り、ウクレレ、水族館めぐり、食べ歩きなど多岐にわたり、クラシックだけでなくゲーム音楽の演奏やお菓子をプレゼントすることも楽しみの一つだそうです。
学生時代からサンリオの小物を愛用し、今もユーモアと明るさを大切にされている姿が印象的です。
ご結婚後は「日常の中で一緒に好きなことや楽しかったことを共有し、自然体で過ごせる関係を築きたいです」とお話しくださいました。（415文字）</t>
  </si>
  <si>
    <t>凛とした美しさと終始優しい笑顔が印象的なやまだ様は、その他金融業でサービス職として事務を担当され、職場の人間関係にも恵まれたストレスの少ない環境で日々を過ごしていらっしゃいます。
仕事を長く続けたいというお気持ちと同時に、周囲とのコミュニケーションを大切にされており、その穏やかで誠実な姿勢から芯の強さを感じました。
休日には食べ歩きやスイーツ巡り、温泉地や神社仏閣巡りなどをアクティブに楽しまれ、リラックスした雰囲気の中で美味しいご飯やお酒の時間を大切にされています。
また学生時代のご友人や趣味を通じたコミュニティとも交流を続けていらっしゃり、多彩な人との関わりを前向きに楽しんでいるご様子が印象的でした。
ご結婚後は「美味しい食事や旅行で素敵な時間を一緒に過ごし、何でも気兼ねなく話し合える関係を築いていきたい」とお話しくださいました。（371文字）</t>
  </si>
  <si>
    <t>明るい笑顔が印象的なすずき様は、初対面でもやわらかな雰囲気を感じられ、親しみやすく自然と会話が弾む方です。
現在は情報通信業界でOA事務に従事されており、人との関わりや円滑なコミュニケーションを大切にしながら日々取り組んでいらっしゃいます。
職場では、同僚の相談に丁寧に耳を傾け、話しかけやすい雰囲気作りにも配慮されていて、その思いやり深さと誠実さが伝わってきました。
ご趣味は美味しいお料理やスイーツの食べ歩き、温泉や綺麗な景色を楽しむことであり、ハイキングや散歩も積極的にされているそうです。
また、ご自宅ではゆっくりと漢字パズルに取り組む時間を大切にされ、オンとオフを上手に切り替えながら過ごされています。
学生時代のご友人との交流も続き、休日には散歩やハイキングをご一緒されるといったリフレッシュのエピソードが印象に残りました。
「お互いを大切にし、思いやりをもって毎日を楽しめる関係を築きたい」と、笑顔でお話しくださいました。（418文字）</t>
  </si>
  <si>
    <t>たかはし様は、凛とした佇まいと聡明さ、そしてにこやかな表情が印象的な女性です。
現在は保険業界の管理職としてご活躍されており、責任の重さを感じつつも、それ以上にやりがいをもって日々の業務に取り組んでいらっしゃいます。
また、職場では周囲の相談に誠実に耳を傾け、多角的な視点で解決策を見つけるお姿から、柔軟で思いやりの深いお人柄が伝わってきます。
休日には愛犬との散歩やスポーツジムでの時間、友人と美味しいものを食べ歩くことを大切にされ、オンオフの切り替えもしっかりできる方です。
学生時代にはインターナショナルスクールに通われ、社会人になってからは海外勤務も経験されるなど、好奇心旺盛で行動力にあふれているのも魅力のひとつです。
ご結婚後は「楽しいときも辛いときも一緒に笑い合えるような関係を築きながら、お互いの価値観を尊重していきたい」と、笑顔でお話しくださいました。（385文字）</t>
  </si>
  <si>
    <t>1. 400以上～460文字以下で文章を生成する。
・ひらがな、カタカナ、漢字、英数字、記号、スペース、1回の改行をすべて1文字とし、総文字数をカウントする。</t>
  </si>
  <si>
    <t>6. 平文を生成する際は、箇条書きから中黒「・」とったものを生成すること。また、改行をしてください。
・ただし、平文に限り、自然な接続詞や表現を用いて各文章間を滑らかにつなげること</t>
  </si>
  <si>
    <t>7. 話し言葉を避ける。</t>
  </si>
  <si>
    <t>8. 並列表現をしない。ただし、単語レベルではOK（文章レベルはNG）</t>
  </si>
  <si>
    <t>9. 過剰な美化語を使用しない。</t>
  </si>
  <si>
    <t>10. 文末は、「ぜひお会いになってみてください」「と、お話しくださいました」「ぜひお人柄に触れてみてください」「・・・・な、家庭を築かれるでしょう」「・・・ことでしょう」をランダムに記載する</t>
  </si>
  <si>
    <t>11.根拠のない創作は禁止。事実が不足する場合は、他の回答から推測できる範囲で自然に補完すること。</t>
  </si>
  <si>
    <t>1.文字数が指定範囲から逸脱しているため×としました。（青山）</t>
  </si>
  <si>
    <t>1.文字数が指定範囲から逸脱しているため×としました。（青山）
H.職業に関して、その他金融業とそのまま出ており、不安を与えそうな文章になっていたため×としました。（青山）</t>
  </si>
  <si>
    <t>・こばやし様は、朗らかな笑顔と柔らかな物腰が印象的な方です。
・現在は、銀行業にて保険の営業職を務めており、日々お客様と真摯に向き合っていらっしゃいます。
・お仕事では、お客様からさまざまな話を伺うことにやりがいを感じられ、出会いや会話を楽しみに感じていらっしゃる姿が印象的です。
・職場でも真摯な姿勢が評価され、温かみのあるお人柄が周囲から信頼を集めています。
・趣味はスポーツジムでのリフレッシュや映画館での映画鑑賞、街を散策しながらの食べ歩きを楽しまれており、好奇心を持って新しいことにも積極的に取り組む姿勢をお持ちです。
・また、一人暮らしの経験から料理や掃除、家事も好きで、日々の生活を大切にされる様子に誠実なお人柄を感じました。
・友人や家族とも誠実な関係を築き、嬉しいことや楽しいことを素直に共有し合うことを大切にされています。
・ご結婚後は、「日々の会話を大切にしながら、お互いの気持ちを正直に伝え合える家族を築きたい」と、お話しくださいました。（431文字）</t>
  </si>
  <si>
    <t>・出会った瞬間、優しくて丁寧に話してくださるいとう様の姿が印象的でした。
・素直で真面目な性格がうかがえ、ふとした照れ笑いに温かい人柄が滲みます。
・いとう様は現在、食料品業界で営業職に従事されており、自信を持って商品を提供し、お客様に喜んでもらえることにやりがいを感じていらっしゃいます。
・同僚とのホームパーティーやバーベキューといった交流の場を大切にされており、穏やかで周囲を包み込む空気感が魅力的です。
・ご趣味は国内旅行やドライブ、食べ歩き、カフェ巡り、テーマパークめぐりなど多彩で、美味しい店を見つけては自ら足を運び、日常に楽しみを見出しておられます。
・車の運転にも慣れていて、温泉などへのドライブでは安心して助手席に座ってほしいという気配りも感じられます。
・これからはお相手と一緒にテーマパークや買い物を楽しみ、支え合い、寄り添いながら明るく楽しい家庭を築きたいとお話しくださいました。（402文字）</t>
  </si>
  <si>
    <t>・爽やかな笑顔が印象的なわたなべ様は、穏やかで柔らかな雰囲気をお持ちの方です。
・医療・福祉業界で管理職としてご活躍され、日々エコー業務等に従事されています。
・患者様から「先生に見つけてもらえてよかった」と声をかけられることもあり、その姿勢には誠実さと温かな思いやりを感じます。
・ご趣味は映画鑑賞やドライブ、日帰り温泉やグランピングなど多岐にわたり、ご自宅でも映画を楽しまれています。
・また、音楽を聴きながらのドライブや、服や雑貨などを見て回る時間も大切にされ、神社仏閣巡りやご朱印集めにも関心を持たれています。
・休日には家事やリフレッシュを心から楽しみ、お料理を囲んでのペアリングや美味しい食事も大切にされています。
・結婚後は「お相手が行きたいところにたくさん連れていきたい」と語られ、今という時間を大切にしながら、思いやりにあふれる家庭を築いていきたいと考えていらっしゃいます。
・ぜひお人柄に触れてみてください。（414文字）</t>
  </si>
  <si>
    <t>・爽やかな笑顔が印象的なやまもと様。親しみやすく穏やかな空気を持ち、会話のひとつひとつが心地よく、自然と安心感を与えてくださいます。
・現在は電気機器業界のエンジニアとして、多くの部下をまとめながら日々課題解決に真摯に取り組んでいらっしゃいます。
・職場でも頼りがいがあり、ご相談には丁寧に耳を傾ける姿勢から、誠実なお人柄が感じられました。
・休日はドライブや映画鑑賞を楽しみにしており、特に「鬼滅の刃」を観て感動しつつも、その気持ちが周囲に伝わらないよう配慮される繊細さをお持ちです。
・居酒屋巡りや旅行も趣味で、特に人と一緒に食事をしたり、話したりする時間を大切にされていることが印象に残りました。
・ご結婚後は「沢山のことを共有し、何気ない毎日に幸せを感じられる夫婦でありたい」とお話しくださいました。（354文字）</t>
  </si>
  <si>
    <t>・穏やかな雰囲気と親しみやすい笑顔が印象的な、なかむら様。
・自動車のエンジン制御開発という専門性の高い分野でご活躍され、ご自身の技術が世界中で使われていることに誇りとやりがいを感じていらっしゃいます。
・職場では技術革新に情熱を注ぎつつ、周囲からの相談にも丁寧に耳を傾け、ご自身の経験を惜しみなく共有される頼れる存在として信頼されています。
・休日にはドライブや神社・仏閣めぐり、国内外の旅行を楽しまれるなど、好奇心旺盛で行動力のある方です。
・最近は海外旅行にも関心を持ち、お酒を楽しむ時間や旅先での新しい発見に笑顔があふれていました。
・「好きな人と話す時間を何より大切にしたい」とのお考えが印象的で、ご結婚後はお互いの価値観を尊重し、食事やドライブなど日常のささやかな幸せを分かち合える家庭を築きたいとお話しくださいました。（366文字）</t>
  </si>
  <si>
    <t>こばやし様は、朗らかな笑顔と柔らかな物腰が印象的な方です。
現在は銀行業で保険の営業職に就かれ、日々お客様と真摯に向き合っておられます。
お仕事のなかで、お客様からさまざまなお話を伺うことにやりがいを感じ、出会いや会話を楽しみにされている様子が伝わってきます。
その真摯な姿勢は職場でも評価され、温かみのあるお人柄が周囲の信頼を集めています。
ご趣味はスポーツジムでのリフレッシュや映画館での映画鑑賞、街を散策しながら見つけたお店での食べ歩きなど、多彩な体験を楽しまれており、新しいことに積極的にチャレンジする好奇心もお持ちです。
さらに、一人暮らしのご経験から料理や掃除、家事も得意で、毎日の暮らしを丁寧に営んでいる点に誠実なお人柄を感じました。
ご家族やご友人とも誠実な関係を築きながら、嬉しいことや楽しいこと、お互いの素直な気持ちを大切にされています。
ご結婚後は「日々の会話を大切にしながら、お互いの気持ちを正直に伝え合える家族を築きたい」と、お話しくださいました。（437文字）</t>
  </si>
  <si>
    <t>出会った瞬間、優しくて丁寧に話してくださるいとう様の姿が印象的でした。
素直で真面目な性格がうかがえ、ふとした照れ笑いに温かい人柄が滲みます。
いとう様は現在、食料品業界で営業職に従事されており、自信を持って商品を提供し、お客様に喜んでもらえることにやりがいを感じていらっしゃいます。
同僚とのホームパーティーやバーベキューといった交流の場を大切にされており、穏やかで周囲を包み込む空気感が魅力的です。
ご趣味は国内旅行やドライブ、食べ歩き、カフェ巡り、テーマパークめぐりなど多彩で、美味しい店を見つけては自ら足を運び、日常に楽しみを見出しておられます。
さらに車の運転にも慣れていて、温泉などへのドライブでは安心して助手席に座ってほしいという気配りも感じられます。
これからはお相手と一緒にテーマパークや買い物を楽しみ、支え合い、寄り添いながら明るく楽しい家庭を築きたいとお話しくださいました。（398文字）</t>
  </si>
  <si>
    <t>爽やかな笑顔が印象的なわたなべ様は、穏やかで柔らかな雰囲気をお持ちの方です。
医療・福祉業界で管理職としてご活躍され、日々エコー業務等に従事されています。
患者様から「先生に見つけてもらえてよかった」と声をかけられることもあり、その姿勢には誠実さと温かな思いやりを感じます。
ご趣味は映画鑑賞やドライブ、日帰り温泉やグランピングなど多岐にわたり、ご自宅でも映画を楽しまれています。
また、音楽を聴きながらのドライブや、服や雑貨などを見て回る時間も大切にされ、神社仏閣巡りやご朱印集めにも関心を持たれています。
休日には家事やリフレッシュを心から楽しみ、お料理を囲んでのペアリングや美味しい食事も大切にされています。
結婚後は「お相手が行きたいところにたくさん連れていきたい」と語られ、今という時間を大切にしながら、思いやりにあふれる家庭を築いていきたいと考えていらっしゃいます。
ぜひお人柄に触れてみてください。（406文字）</t>
  </si>
  <si>
    <t>爽やかな笑顔が印象的なやまもと様は、親しみやすく穏やかな空気を持ち、会話のひとつひとつが心地よく、自然と安心感を与えてくださいます。
現在は電気機器業界のエンジニアとして、多くの部下をまとめながら日々課題解決に真摯に取り組んでいらっしゃいます。
職場でも頼りがいがあり、ご相談には丁寧に耳を傾ける姿勢から、誠実なお人柄が感じられました。
休日はドライブや映画鑑賞を楽しみにしており、特に「鬼滅の刃」を観て感動しつつも、その気持ちが周囲に伝わらないよう配慮される繊細さをお持ちです。
また、居酒屋巡りや旅行も趣味で、特に人と一緒に食事をしたり話したりする時間を大切にされていることが印象に残りました。
ご結婚後は「沢山のことを共有し、何気ない毎日に幸せを感じられる夫婦でありたい」とお話しくださいました。（351文字）</t>
  </si>
  <si>
    <t>穏やかな雰囲気と親しみやすい笑顔が印象的な、なかむら様。
自動車のエンジン制御開発という専門性の高い分野でご活躍され、ご自身の技術が世界中で使われていることに誇りとやりがいを感じていらっしゃいます。
職場では技術革新に情熱を注ぎつつ、周囲からの相談にも丁寧に耳を傾け、ご自身の経験を惜しみなく共有される頼れる存在として信頼されています。
休日にはドライブや神社・仏閣めぐり、国内外の旅行を楽しまれるなど、好奇心旺盛で行動力のある方です。
最近は海外旅行にも関心を持ち、お酒を楽しむ時間や旅先での新しい発見に笑顔があふれていました。
「好きな人と話す時間を何より大切にしたい」とのお考えが印象的で、ご結婚後はお互いの価値観を尊重し、食事やドライブなど日常のささやかな幸せを分かち合える家庭を築きたいとお話しくださいました。（360文字）</t>
  </si>
  <si>
    <t>H.平文だと結びの言葉があっても違和感がないですが、箇条書きだと「ぜひお人柄に触れてみてください。」が上長に感じたため×としました。（青山）</t>
  </si>
  <si>
    <t>1.文字数が指定範囲から逸脱しているため×としました。（青山）
H.映画のエピソードにて、「映画館で号泣して、他の方に気づかれない様に、走って帰った」（=周りに余計な心配をかけないように気遣った/感情豊かでありながらも、それを表に出しすぎない奥ゆかしさ）というニュアンスだと思うのですが、感動を周囲に悟られないように配慮した、という文章になっており、若干意味が通らない気がしたため×としました。（青山）</t>
  </si>
  <si>
    <t>■担当者紹介文_評価シート（実験No：Tes-C）</t>
  </si>
  <si>
    <t>Rec-04</t>
  </si>
  <si>
    <t>「基本ルール」から担当者紹介文を作成してください。
入力として与えられる情報のみを使用し、事実に基づいた文章を生成してください。事実が不足する場合は、他の回答から推測できる範囲で自然に補完してください。根拠のない創作は禁止です。
生成する際は、箇条書きの文章と平文の2つを生成すること。ただし、中身は同じものとしてください。
正しさと統一感があり信頼できる文章であり、変化があり読み手のイメージを膨らませる文章であることが望ましいです。
なお、「チェック項目」にあるすべての項目をクリアした担当者紹介文を生成すること。
■基本ルール
1. 400以上460文字以下で文章を生成する。※1回の改行につき1文字としてカウントすること。
2. 名前は、ファーストネームのひらがな＋様で表記する。※カタカナ・漢字はNG
3. 紹介文の中に必ず名前を1回入れる。
4. 箇条書きと、箇条書きを平文化した文章の2つを生成すること。
5. 箇条書きの場合、文頭は中黒「・」で統一する。
6. 平文を生成する際、以下に記載の文章構成①～⑥に沿って、テーマごとに改行すること。
7. 話し言葉を避ける。
8. 並列表現をしない。ただし、単語レベルではOK（文章レベルはNG）
9. 過剰な美化語を使用しない。
10. 文末は、「ぜひお会いになってみてください」「と、お話しくださいました」「ぜひお人柄に触れてみてください」「・・・・な、家庭を築かれるでしょう」「・・・ことでしょう」をランダムに記載する
11. 上記ルールを適用するうえで文中に表現が見つからない場合は本件事項をスキップする。なおスキップした際は一番末尾にスキップしたルール番号を出力すること。スキップ項目がない場合は、何も表記しなくてよい。
除外項目：No.1 400以上460文字以下で文章を生成する。※1回の改行につき1文字としてカウントすること。
12.根拠のない創作は禁止、事実が不足する場合は、他の回答から推測できる範囲で自然に補完すること。
13.各文章間は自然な接続詞や表現を用いて滑らかにつなげること
14.職業や趣味については、単なる事実の羅列ではなく、その人の価値観や人柄が伝わるように記述すること
■文章構成
①担当者からの印象
・顔を合わせたときに向けてくださる、優しいまなざしの笑顔が印象的な●●●様。
・色白でかわいらしい顔立ちの●●●様。やわらかい目元が印象的で穏やかな雰囲気をお持ちの方です。
・特に女性の場合：・清楚で可愛らしい●●●様。温かな眼差しでお話しくださる空間が心地よく、自然とこちらまで笑顔にさせてくださる気遣いのできる女性です。
・特に男性の場合：・爽やかな笑顔が素敵な●●●様。質問に対しても丁寧にお話しくださるお姿から、誠実で温和なお人柄を感じます。
②仕事
・現在は〇〇の仕事に就かれ、日々〇〇に取り組んでいらっしゃいます。
・お仕事は子供服の接客販売をされています。"
③仕事のやりがい・職場関係
・職場では、仕事のご相談を受けることが多く、できる限り時間をつくって話に耳を傾けていらっしゃることからも、誠実なお人柄を感じました。
④趣味・休日の過ごし方
・ご趣味はアウトドアが多いそうですが、ご自宅では、料理をつくる機会が増え、色々な料理にチャレンジされていらっしゃいます。
⑤エピソード
・学生時代のご友人とは今でも親交があり、部活動で励んでいたバドミントンや避暑地でのキャンプなどを一緒に楽しまれるそうです。
⑥未来像
・ご結婚後は、「お互いの趣味を共有して、お相手と一緒に日常生活を楽しめる工夫をしていきたいです」と笑顔でお話しくださいました。
■チェック項目
1. 400以上460文字以下で文章を生成する。※1回の改行につき1文字としてカウントすること。
2. 名前は、ファーストネームのひらがな＋様で表記する。※カタカナ・漢字はNG
3. 紹介文の中に必ず名前を1回入れる。
4. 箇条書きと、箇条書きを平文にしたもの、2つを生成すること。
5. 箇条書きの場合、文頭は中黒「・」で統一する。
6. 平文を生成する際、以下に記載の文章構成①～⑥に沿って、テーマごとに改行すること。
7. 話し言葉を避ける。
8. 並列表現をしない。ただし、単語レベルではOK（文章レベルはNG）
9. 過剰な美化語を使用しない。
10. 文末は、「ぜひお会いになってみてください」「と、お話しくださいました」「ぜひお人柄に触れてみてください」「・・・・な、家庭を築かれるでしょう」「・・・ことでしょう」をランダムに記載する
11. 上記ルールを適用するうえで文中に表現が見つからない場合は本件事項をスキップする。なおスキップした際は一番末尾にスキップしたルール番号を出力すること。スキップ項目がない場合は、何も表記しなくてよい。
除外項目：No.1 400以上460文字以下で文章を生成する。※1回の改行につき1文字としてカウントすること。
12.根拠のない創作は禁止、事実が不足する場合は、他の回答から推測できる範囲で自然に補完すること。
13.各文章間は自然な接続詞や表現を用いて滑らかにつなげること
14.職業や趣味については、単なる事実の羅列ではなく、その人の価値観や人柄が伝わるように記述すること</t>
  </si>
  <si>
    <t>F-06</t>
  </si>
  <si>
    <t>F-07</t>
  </si>
  <si>
    <t>F-08</t>
  </si>
  <si>
    <t>F-09</t>
  </si>
  <si>
    <t>F-10</t>
  </si>
  <si>
    <t>会員番号	X011876759
性別	女性
年齢	22歳
結婚歴	未婚
子供有無	なし
身長	141cm
業種	その他
職業	その他
仕事内容	検品
休日	土／日／祝祭
学歴	短大卒業
趣味	音楽鑑賞 ／ 携帯ゲーム ／ アニメーション ／ イラスト ／ 手芸・編物・アクセサリー制作
趣味についてのこだわり	ゲームが好きでアニメイトに行ったりもします。時々気分転換に双子とカラオケにも行っています。
これからやってみたいこと	レシピを見ずに自分で料理ができるようになりたいです。
私の好きなコト、モノ	甘いものやお買い物が好きです。お相手さんと一緒に行ってみたいです。
理想の結婚、夫婦、家族像	お互いが気を張らずに素の状態でいられて、「ありがとう」と「ごめんなさい」を素直に言える関係を築きたいです</t>
  </si>
  <si>
    <t>会員番号	X019611262
性別	女性
年齢	26歳
結婚歴	未婚
子供有無	なし
身長	150cm
業種	不動産業
職業	事務職
仕事内容	営業事務
休日	水／木
学歴	大学卒業
趣味	国内旅行 ／ 色鉛筆画 ／ 演劇鑑賞 ／ 食べ歩き ／ テーマパークめぐり
趣味についてのこだわり	旅先での楽しい思い出・美味しい料理を誰かと共有し合うことが好きです。休みの日には、お菓子作りをすることもあります。
これからやってみたいこと	カメラ、スポーツ観戦、岩盤浴、小動物カフェ、謎解きイベント等
私の好きなコト、モノ	レトロな建物や話題のスポットを見に行くこと、雑貨を見ることが好きです。愛犬の隣で、のんびり刺繍・絵を描くのも好きです。
理想の結婚、夫婦、家族像	笑顔の絶えない、温かい家庭が理想です。お互いの苦手なことを補い合いながら、いつまでも仲良く楽しい夫婦でありたいです。</t>
  </si>
  <si>
    <t>会員番号	X012430158
性別	女性
年齢	27歳
結婚歴	未婚
子供有無	なし
身長	170cm
業種	情報通信業
職業	専門職
仕事内容	SE
休日	不定期
学歴	大学卒業
趣味	水族館めぐり ／ アニメーション ／ カラオケ ／ スポーツ観戦 ／ TVゲーム
趣味についてのこだわり	ドラマを観たり、YouTubeの動画を楽しんだりとインドアな趣味が多いです。
これからやってみたいこと	一緒に旅行して、楽しい時間を共有できたら嬉しいです。
私の好きなコト、モノ	謎解きや脱出ゲームのワクワクする感じが好きです。 水族館てのんびりするのも癒されます。 お寿司と甘いものが好物です。
理想の結婚、夫婦、家族像	一緒にいて居心地が良く、無言の時でも気を使わなくて良い関係が理想です。 お互いに支え合える夫婦になれたらなと思います。</t>
  </si>
  <si>
    <t>会員番号	X016685658
性別	女性
年齢	29歳
結婚歴	未婚
子供有無	なし
身長	160cm
業種	士業・他
職業	事務職
仕事内容	顧問先訪問、社内事務
休日	土／日／祝祭
学歴	大学卒業
趣味	ミュージカル鑑賞 ／ ライブ・コンサート鑑賞 ／ カフェで過ごす ／ 水族館めぐり ／ 温泉地めぐり
趣味についてのこだわり	ミュージカルの観劇と乃木坂46のライブに行くことが好きです。
これからやってみたいこと	1人だとお家時間を満喫してしまうので、2人でお出かけしたい。
私の好きなコト、モノ	コーヒー、ラーメン、餃子、水族館、旅行、温泉、カラオケ、犬、漫画、洋服
理想の結婚、夫婦、家族像	年齢を重ねても2人で過ごす時間を大切にできる夫婦が理想。お茶をしたり旅行したり2人で穏やかに過ごす時間を作りたい。</t>
  </si>
  <si>
    <t>会員番号	X013503476
性別	女性
年齢	36歳
結婚歴	未婚
子供有無	なし
身長	167cm
業種	医療・福祉業
職業	専門職
仕事内容	リハビリテーション
休日	土／日
学歴	大学卒業
趣味	国内旅行 ／ カフェで過ごす ／ 読書 ／ 映画鑑賞 ／ 温泉地めぐり
趣味についてのこだわり	カフェに行って本を読んだり、まったりすることが好きです。旅行に行って、その土地の美味しいものを食べることも好きです。
これからやってみたいこと	お相手と美味しいもの食べながらお話ができたらと思います。
私の好きなコト、モノ	自然がある場所でゆったり過ごすことが好きなので、お相手とご一緒できたら嬉しいです。
理想の結婚、夫婦、家族像	お互いを支えながら前向きに考えられる、笑いがたえない家族が理想です。家族を思い、助け合える関係を築けたらと思います。</t>
  </si>
  <si>
    <t>【会員様のファーストネーム（ひらがな）】	さとう
【会員様と初めて話した時に直観的に感じた印象や雰囲気は？】	清楚、可愛らしい、温かい
【仕事で「好きだ」「やりがいを感じる」と話していたこと、または「担当者からの印象」は？】	職場の方も良い方
【趣味や休日の過ごし方の中で、どんな時に楽しそうに話していましたか？】	休日はマンガ・アニメ、音楽鑑賞
【会員様との会話で感じた、優しさ・思いやり・その他の印象に残ったポイントは？】	
【結婚後の夢・続けたいこと・一緒にやりたいことなど】	ほっとできる家庭を作る
【会員様が結婚生活で大事にしたいことは？】	お互いに気を張らない
【担当者目線での会員様の魅力は？】	穏やかで素直、家庭的</t>
  </si>
  <si>
    <t>【会員様のファーストネーム（ひらがな）】	たなか
【会員様と初めて話した時に直観的に感じた印象や雰囲気は？】	自然体、気さく、親しみやすい
【仕事で「好きだ」「やりがいを感じる」と話していたこと、または「担当者からの印象」は？】	スムーズに仕事が進むように積極的に関わっている
【趣味や休日の過ごし方の中で、どんな時に楽しそうに話していましたか？】	毎年恒例の親族とのディズニーツアー、お料理教室
【会員様との会話で感じた、優しさ・思いやり・その他の印象に残ったポイントは？】	
【結婚後の夢・続けたいこと・一緒にやりたいことなど】	
【会員様が結婚生活で大事にしたいことは？】	お互いを尊重すること
【担当者目線での会員様の魅力は？】	お相手の家族も大切にする、家庭的</t>
  </si>
  <si>
    <t>【会員様のファーストネーム（ひらがな）】	やまだ
【会員様と初めて話した時に直観的に感じた印象や雰囲気は？】	愛らしい笑顔、癒される、誠実
【仕事で「好きだ」「やりがいを感じる」と話していたこと、または「担当者からの印象」は？】	
【趣味や休日の過ごし方の中で、どんな時に楽しそうに話していましたか？】	ドラマ、テレビゲーム、歌うこと
【会員様との会話で感じた、優しさ・思いやり・その他の印象に残ったポイントは？】	日々知識を増やせるように勉強をしていること
【結婚後の夢・続けたいこと・一緒にやりたいことなど】	結婚後も今の仕事を続けたい
【会員様が結婚生活で大事にしたいことは？】	家に帰ることで安心できる家庭を作りたい
【担当者目線での会員様の魅力は？】	真面目で頑張り屋さん</t>
  </si>
  <si>
    <t>【会員様のファーストネーム（ひらがな）】	すずき
【会員様と初めて話した時に直観的に感じた印象や雰囲気は？】	素直、話しやすい、親しみやすい
【仕事で「好きだ」「やりがいを感じる」と話していたこと、または「担当者からの印象」は？】	先輩のサポートや後輩のフォロー、人のために何かすること
【趣味や休日の過ごし方の中で、どんな時に楽しそうに話していましたか？】	YouTube、学生時代の友人とランチ、リフレッシュ、ライブなど、オンオフ
【会員様との会話で感じた、優しさ・思いやり・その他の印象に残ったポイントは？】	社労士の資格取得に向けた勉強
【結婚後の夢・続けたいこと・一緒にやりたいことなど】	結婚後、たわいもない話に話を咲かせたい
【会員様が結婚生活で大事にしたいことは？】	尊重しあいたい
【担当者目線での会員様の魅力は？】	気遣いがあり、優しい</t>
  </si>
  <si>
    <t>【会員様のファーストネーム（ひらがな）】	たかはし
【会員様と初めて話した時に直観的に感じた印象や雰囲気は？】	朗らか、親しみやすい
【仕事で「好きだ」「やりがいを感じる」と話していたこと、または「担当者からの印象」は？】	言語のリハビリの仕事にやりがい
【趣味や休日の過ごし方の中で、どんな時に楽しそうに話していましたか？】	友人と食事、カフェで読書、旅行
【会員様との会話で感じた、優しさ・思いやり・その他の印象に残ったポイントは？】	
【結婚後の夢・続けたいこと・一緒にやりたいことなど】	お互いを分かりあう、協力体制
【会員様が結婚生活で大事にしたいことは？】	しなやか、柔軟性
【担当者目線での会員様の魅力は？】	相手の気持ちに寄り添うこと</t>
  </si>
  <si>
    <t>・清楚で可愛らしい●●●様。温かな眼差しでお話しくださる空間が心地よく、自然とこちらまで笑顔にさせてくださる気遣いのできる女性です。
・お仕事は、日常的に使う商品の検品をされているそうです。職場の方も良い方が多く楽しくお仕事をされているとお聞きしました。
・休日は、マンガやアニメを観たり、音楽を聴かれるそう。カラオケも好きでボカロを歌うのが楽しみのよう。ゲームも好きでゲーム音楽のコンサートに行かれ、オーケストラの生演奏に感動された様子をお話しくださった時の笑顔がとても印象的でした。
・ご実家にいる時からお母さまとご一緒にお料理やお家をキレイにされていたそう。現在はお一人暮らしですが、楽しくおうちの事もこなしているご様子です。
・大学のゼミでハンドメイドのアクセサリーを作成し、体験コーナーをつくり楽しんでもらったことで、結婚してからも作品をつくっていきたいとお考えです。
・結婚したら「ホッとできるお家にしたい」と仰る、とても穏やかで素直なご性格の女性です。家庭的な●●●様のお人柄に触れてみてください。</t>
  </si>
  <si>
    <t>・落ち着いた物腰に自然体で飾らず素直なお人柄、気さくな雰囲気でテンポ良くお話しくださいます。親しみやすさを持ちながら、必要な時はきちんと意見が言える聡明さを合わせ持っていらっしゃると感じます。
・お仕事は、宅地建物取引士として不動産売買における重要事項説明を任され、スムーズに業務が進むよう、積極的に調整に関わる事から、信頼されるご様子が窺えます。
・中高と美術部だったこともあり絵を描くことがお好きで、練習すれば上達し、限界もないところが飽きないそう。
・毎年恒例、親族とのディズニーツアーは、プラン・案内をご担当。お相手とご一緒できることを楽しみにされています。
・お料理教室に長年通われ、お相手には小籠包やから揚げ、ケーキを作ってあげたいそう。豊かな食卓が想像できますね。
・お相手とはお互いを尊重し、感謝の気持ちを大切にしたいそう。家族のつながりも大事にしたい方ですので、お相手のご家族とも仲良くしたいとか。家庭を第一優先で考えたい方ですので、家事をお任せいただき、家庭を守ることに力を発揮されることでしょう。</t>
  </si>
  <si>
    <t>・クリッと大きな瞳に愛らしい笑顔が印象的な、●●●様。落ち着いた話し方にとても癒され、誠実なお人柄が窺えます。
・お仕事は、システムの運用保守に携わっています。「日々知識を増やせるように勉強が必要なんです」と大変さも感じているそうですが、真面目で頑張り屋さんな魅力をお持ちです。
・結婚後の仕事は、お相手様の理解を得て、今の職場で続けたいとお考えです。
・休日は、お部屋でドラマやTVゲームでゆっくりと過ごすことが多いそう。また歌うことがお好きでボイストレーニングにも通われ、上手にリフレッシュをされているご様子です。
・今後はお相手様とも、お部屋で一緒に寛ぐ時間や、水族館やショッピングなど、お出かけも楽しみたいと笑顔を見せてくださいました。
・現在一人暮らしの為、家事は一通りされていますが、パートナーとは協力できたら嬉しいとか。
・将来は、お互いの気持ちを素直に話せ、家に帰ることで安心できる居心地のよいご家庭が理想だそうです。
・●●●様となら、美味しい食事で食卓を囲みあう、温かみあるご家庭を築かれるでしょう。</t>
  </si>
  <si>
    <t>・素直でお話ししやすく、親しみやすさを感じる女性です。クラシックバレエを習われていたそうで、凛とした佇まいが美しい方です。
・お仕事は、会計事務所にて、営業と社内事務に従事をされています。業務の中でも、特に先輩のサポートや後輩のフォローなど「人のために何かすることが好き」と仰り、気遣いのある、優しい方だと感じました。
今後、労務管理を併設するご予定とのことで、社労士資格の取得に向けて、熱心に勉強もなさっています。
・お休みの日は、YouTubeなどの動画を見てゆっくり寛がれたり、学生時代のご友人とランチやカフェをして気分転換を。ライブにも出かけることが多いそうで、オンオフでメリハリをつけて楽しまれていらっしゃいます。
・結婚したら、たわいもない話に花を咲かせたりと、穏やかな時間を過ごしたいご様子です。
・お相手を尊重したいという考えを持った●●●様なので、お互いを思いやり、温かいご家庭を築いていかれることでしょう。</t>
  </si>
  <si>
    <t>・朗らかで親しみやすい雰囲気をお持ちの、●●●様。穏やかな表情で丁寧にお話しくださるお姿から、誠実な女性なのだと感じます。
・医療機関にお勤めで訪問看護をされています。言葉のリハビリを担当され、日々遣り甲斐をもって取り組まれています。普段はおしゃべりだと仰いますが、相手の気持ちに寄り添い聞くことを大切にしているとのお話から、思い遣りのあるお人柄が窺えました。
・働きやすく、人間関係も良好とのことで、できる限りお仕事を続けていきたいそうです。
・週末はご友人と食事をしたり、本を読みながらカフェでゆっくりとお過ごしです。最近は植物を育てたり、インテリアに凝っていらっしゃるそうで、工夫して癒しの空間作りを楽しんでおいでです。
・旅行好きで、ご友人と様々な場所にお出掛けすることも。時には一人旅へ行き、自然の中でリフレッシュされるのだと、笑顔でお話しくださいました。
・将来は、お互いを分かり合って、協力体制を作っていきたいとお考えです。しなやかで柔軟性のある●●●様とならば、明るく居心地良い家庭を築けるでしょう。</t>
  </si>
  <si>
    <t>・清楚で可愛らしいさとう様。温かな眼差しと、穏やかな雰囲気をお持ちの方です。
・現在は検品のお仕事に従事され、職場の方々とも良好な関係を築いていらっしゃいます。
・お仕事については、丁寧な作業と周囲への気遣いを大切にされていることが感じられます。そのため、職場でも信頼を寄せられているご様子が印象的です。
・ご趣味は音楽鑑賞や携帯ゲーム、アニメーション、イラスト、手芸・編物・アクセサリー制作など多岐にわたります。特にアニメイトに訪れるひと時や、気分転換に双子とカラオケに行く時間を大切にされています。
・学生時代から培われた趣味の幅や、休日を楽しく過ごす工夫が印象的でした。甘いものやお買い物もお好きで、お相手と一緒に楽しみたいという思いをお持ちです。
・ご結婚後は「お互いが気を張らずに、ありがとうとごめんなさいを素直に伝え合える、ほっとできる家庭を作りたいです」とお話しくださいました。（396文字）</t>
  </si>
  <si>
    <t>・自然体で気さくな、親しみやすい雰囲気が印象的なたなか様。
・現在は不動産業界で営業事務を担当され、スムーズに仕事が進むよう積極的にサポートされています。
・仕事においては周囲の方々をよく見て、円滑に業務が進むよう心配りを忘れない姿勢が見受けられます。その姿から、たなか様の誠実さと責任感がうかがえました。
・ご趣味は国内旅行や色鉛筆画、演劇鑑賞、食べ歩き、テーマパークめぐりなど多彩です。親族とのディズニーツアーを毎年楽しみにされ、休みの日にはお菓子作りや刺繍で心豊かな時間を過ごされています。
・旅先での思い出や美味しい料理を誰かと共有するのが好きで、レトロな建物や話題のスポット巡りも大切にされています。
・「笑顔の絶えない、温かい家庭が理想です。お互いの苦手なことを補い合い、仲良く楽しい夫婦でありたい」とお話しくださいました。（368文字）</t>
  </si>
  <si>
    <t>・愛らしい笑顔が印象的で、癒しと誠実さを感じさせるやまだ様。
・現在は情報通信業界でSEとして働かれ、日々知識を増やせるよう学びにも積極的に取り組んでいらっしゃいます。
・仕事への真面目な姿勢や努力を惜しまない一面から、周囲の信頼も厚い方だと感じます。
・ご趣味は水族館めぐりやアニメーション、カラオケ、スポーツ観戦、テレビゲーム、またドラマやYouTube鑑賞など、インドアな過ごし方も楽しまれています。謎解きや脱出ゲームの刺激や、水族館での癒しの時間も大切にされています。
・お寿司や甘いものが好物という一面もあり、休日は興味に素直に向き合い、幅広い楽しみを見つけているご様子がうかがえます。
・「一緒にいて安心できる関係を築き、お互い支え合える夫婦を目指したい」とお話しくださいました。（346文字）</t>
  </si>
  <si>
    <t>・素直で話しやすく、親しみやすい雰囲気が印象的なすずき様。
・現在は士業関連の事務職として、顧問先への訪問や社内事務を担当され、先輩や後輩のサポートなど、人のために行動することにやりがいを見出していらっしゃいます。
・仕事では、周囲の方々への気配りを大切にし、サポート役としても信頼されている様子がうかがえます。
・ご趣味はミュージカルやライブ鑑賞、水族館や温泉巡り、カフェでのひと時と多岐にわたり、特に乃木坂46のライブへ足を運ぶことを楽しみにされています。
・休日にはYouTubeを観てリフレッシュしたり、学生時代の友人とランチを楽しんだりと、オンとオフを上手に切り替えて心豊かに過ごされています。
・ご結婚後は「年齢を重ねても2人で過ごす時間や、たわいもない話を大切にし、穏やかな関係を築きたいです」とお話しくださいました。（366文字）</t>
  </si>
  <si>
    <t>・朗らかで親しみやすい雰囲気が魅力的なたかはし様。
・現在は医療・福祉業界でリハビリテーション専門職として、ご自身の専門性を生かし、特に言語リハビリの分野にやりがいを感じながら日々の業務に励んでおられます。
・職場ではご利用者様や同僚に対し、思いやりと寄り添う姿勢を大切にし、柔軟な対応を意識しながら信頼関係を築かれています。
・ご趣味は国内旅行やカフェでの読書、温泉地めぐり、映画鑑賞など多岐に渡ります。カフェでゆったり本を読む時間や、旅行先で美味しいものを味わうことを楽しまれ、自然のある場所で過ごすひとときを大切にされています。
・休日には友人との食事やカフェタイムを楽しみながら、心身のリフレッシュもしっかりとされています。
・「お互いに支え合いながら、柔軟な心で笑いの絶えない関係を築いていきたいです」とお話しくださいました。（368文字）</t>
  </si>
  <si>
    <t>清楚で可愛らしいさとう様。温かな眼差しが印象的で、自然体でいられる雰囲気に心惹かれます。
現在は検品のお仕事に従事され、職場の方々とも良い関係を築きながら日々丁寧な作業に取り組んでいらっしゃいます。
その仕事ぶりには周囲への細やかな気配りが感じられ、職場でも信頼される存在として活躍されています。
趣味は音楽鑑賞や携帯ゲーム、アニメ、イラスト、手芸・編物・アクセサリー制作と多岐にわたり、アニメイトに出かけたり、双子とカラオケで過ごす時間を大切にされています。
また、甘いものやお買い物もお好きで、これらのひと時をお相手と共有できる日を楽しみにされています。
ご結婚後にはお互いが気を張らず、「ありがとう」と「ごめんなさい」を大切に伝え合える、ほっとできる家庭を作りたいとお話しくださいました。（347文字）</t>
  </si>
  <si>
    <t>自然体で気さくな雰囲気が印象的なたなか様は、親しみやすさと温かみを感じさせる女性です。
現在は不動産業界にて営業事務を担当し、職場ではスムーズに仕事が進むよう積極的に周囲をサポートされています。
その働きぶりからは、周囲をよく見て心配りや配慮を欠かさない誠実さと責任感がうかがえました。
ご趣味は国内旅行や色鉛筆画、演劇鑑賞、食べ歩き、テーマパークめぐりと多岐にわたります。毎年恒例の親族とのディズニーツアーや、休日のお菓子作り、愛犬のそばで刺繍をする時間にも豊かさを見出されています。
旅先での思い出や美味しい料理を誰かと分かち合うことや、レトロな建物や話題のスポットを訪れることにも関心を持たれています。
ご結婚後は「笑顔の絶えない温かい家庭を築き、お互いの苦手なことを補い合い、仲睦まじく楽しい夫婦でありたい」とお話しくださいました。（370文字）</t>
  </si>
  <si>
    <t>愛らしい笑顔が印象的なやまだ様は、その佇まいから癒しと誠実さを感じさせてくれます。
現在は情報通信業界にてSEの専門職に従事され、日々知識を積み重ねながら自己研鑽にも励む姿勢が印象に残りました。
仕事に対して真面目に向き合い、努力を惜しまない姿から、周囲からの厚い信頼が感じられます。
ご趣味は水族館めぐり、アニメーション、カラオケ、スポーツ観戦、テレビゲームと多岐にわたり、インドアでもドラマやYouTubeを楽しんだり、謎解きや脱出ゲームで刺激を受けたりと、日々豊かな時間を過ごされています。
また、お寿司や甘いものを好み、休日には新しい楽しみを見つけて過ごすことも大切にされています。
「一緒にいて安心できる関係を築き、お互い支え合える夫婦を目指したい」とお話しくださいました。（342文字）</t>
  </si>
  <si>
    <t>素直で話しやすく、親しみやすい雰囲気が印象的なすずき様。
現在は士業関連の事務職に従事されており、顧問先への訪問や社内事務のほか、先輩のサポートや後輩のフォローといった、人のために行動することにやりがいを感じていらっしゃいます。
仕事の中での気配りや周囲への思いやりは、サポート役として厚い信頼につながっていることでしょう。
ご趣味はミュージカルやライブの鑑賞、水族館巡り、温泉地を訪れること、カフェで過ごすことなど幅広く、特に乃木坂46のライブを楽しみに日々の生活を過ごされています。
休日にはYouTubeを観てリフレッシュしたり、学生時代の友人とランチに出かけることで、オンとオフを切り替えて心豊かな時間を大切にしておられます。
「年齢を重ねても2人で過ごす時間や、たわいもない話を大切にし、穏やかな関係を築きたいです」とお話しくださいました。（375文字）</t>
  </si>
  <si>
    <t>朗らかで親しみやすい雰囲気が魅力的なたかはし様。
現在は医療・福祉業界にてリハビリテーション専門職としてご活躍され、特に言語リハビリテーションの分野にやりがいを持って取り組んでおられます。
職場では利用者や同僚に寄り添い、柔軟性をもって対応されることで、信頼関係を着実に築いている様子がうかがえます。
趣味は国内旅行やカフェでの読書、温泉地めぐり、映画鑑賞と多岐に渡り、カフェでゆっくりと読書しながら穏やかな時間を過ごすことや、旅行で土地の美味しいものを味わうひとときを大切にされています。
休日には友人と食事やカフェに出かけて心身をリフレッシュされている姿も印象的です。
「お互いに支え合い、柔軟な心で笑いが絶えない家族を築いていきたいです」とお話しくださいました。（334文字）</t>
  </si>
  <si>
    <t>1. 400以上460文字以下で文章を生成する。※1回の改行につき1文字としてカウントすること。</t>
  </si>
  <si>
    <t>4. 箇条書きと、箇条書きを平文にしたもの、2つを生成すること。</t>
  </si>
  <si>
    <t>6. 平文を生成する際、以下に記載の文章構成①～⑥に沿って、テーマごとに改行すること。</t>
  </si>
  <si>
    <t>8. 並列表現をしない。</t>
  </si>
  <si>
    <t>11. 上記ルールを適用するうえで文中に表現が見つからない場合は本件事項をスキップする。なおスキップした際は一番末尾にスキップしたルール番号を出力すること。スキップ項目がない場合は、何も表記しなくてよい。除外項目：No.1 400以上460文字以下で文章を生成する。※1回の改行につき1文字としてカウントすること。</t>
  </si>
  <si>
    <t>12.根拠のない創作は禁止、事実が不足する場合は、他の回答から推測できる範囲で自然に補完すること。</t>
  </si>
  <si>
    <t>13.各文章間は自然な接続詞や表現を用いて滑らかにつなげること</t>
  </si>
  <si>
    <t>14.職業や趣味については、単なる事実の羅列ではなく、その人の価値観や人柄が伝わるように記述すること</t>
  </si>
  <si>
    <t>1.400字以上になっていません。※以降、同様のコメントのため省略（青山）
11.6番でチェック項目を満たさないものが出ているにも関わらず、チェックに引っかかりませんでした。※以降、同様のコメントのため省略（青山）
C：趣味は多いが、やや列挙的（中谷）</t>
  </si>
  <si>
    <t>A：雰囲気はわかるが、もう一歩人物像の具体性がほしい（中谷）
E：「安心できる関係」などやや抽象的（中谷）</t>
  </si>
  <si>
    <t>M-06</t>
  </si>
  <si>
    <t>M-07</t>
  </si>
  <si>
    <t>M-08</t>
  </si>
  <si>
    <t>M-09</t>
  </si>
  <si>
    <t>M-10</t>
  </si>
  <si>
    <t>会員番号	Y012184081
性別	男性
年齢	29歳
結婚歴	未婚
子供有無	なし
身長	175cm
業種	医療・福祉業
職業	サービス職
仕事内容	整体院経営
休日	祝祭／不定期
学歴	大学卒業
趣味	野球観戦 ／ 料理 ／ 国内旅行 ／ ジョギング ／ ミュージカル鑑賞
趣味についてのこだわり	料理の作り置きにハマっています。その時の体調や食べたい物に合わせて作っていて、特に豚キムチ炒めが得意です。
これからやってみたいこと	まだ行った事ない旅行先国内問わず行ってみたいです。
私の好きなコト、モノ	ミュージカルのアラジンが好きです。特に世界観が気に入っていて、見ていると元気がもらえて気持ちがスッキリします。
理想の結婚、夫婦、家族像	お互いの両親、祖父母を大事に出来る関係を理想としています。 一緒に色んな所に行ってたくさんの思い出を作れたら嬉しいです。</t>
  </si>
  <si>
    <t>会員番号	Y013554915
性別	男性
年齢	28歳
結婚歴	未婚
子供有無	なし
身長	172cm
業種	機械
職業	その他
仕事内容	通信ネットワーク施設の保守・運用
休日	土／日／祝祭
学歴	大学卒業
趣味	サイクリング・ポタリング ／ スイミング ／ 温泉地めぐり ／ ドライブ
趣味についてのこだわり	ロードバイクに乗って海や山など自然の多い場所へ出かけ、 リフレッシュと健康維持を心がけるようにしています。
これからやってみたいこと	お相手の方とサイクリングをしたり、温泉巡りをしたいです。
私の好きなコト、モノ	心身共にリラックスできる空間。温泉とか夜景スポットなど。
理想の結婚、夫婦、家族像	お互いのことを良く理解し、信頼関係の築けた家庭が理想です。</t>
  </si>
  <si>
    <t>会員番号	Y014628125
性別	男性
年齢	27歳
結婚歴	未婚
子供有無	なし
身長	171cm
業種	その他
職業	事務職
仕事内容	国民健康保険の資格確認等
休日	土／日／祝祭
学歴	大学卒業
趣味	サッカー観戦 ／ 野球観戦 ／ 携帯ゲーム ／ 国内旅行 ／ ショッピング
趣味についてのこだわり	サッカーは、今も月に2回程、職場の同僚とプレーしています。見る方は、推しチームのホームゲームを全試合観戦しています。
これからやってみたいこと	料理ができるようになりたいです。
私の好きなコト、モノ	寿司や麺類を中心に、美味しいものを食べるのが好きです。ぐるナイというバラエティーもよく見ています。
理想の結婚、夫婦、家族像	何十年経っても話題と笑顔が絶えないような家庭を築きたいです。子供には、自分のやりたいことをやらせたいです。</t>
  </si>
  <si>
    <t>会員番号	Y014044295
性別	男性
年齢	23歳
結婚歴	未婚
子供有無	なし
身長	163cm
業種	小売業
職業	専門職
仕事内容	E-バイクの販売、修理
休日	不定期
学歴	大学卒業
趣味	神社・仏閣めぐり ／ サイクリング・ポタリング ／ 映画鑑賞 ／ 筋力トレーニング
趣味についてのこだわり	古き良きもの、ヴィンテージが趣味です。サイクリングでは、街の変化や自然を愉しんでいます。温故知新が座右の銘です。
これからやってみたいこと	一緒に旅行したいです。英語を学んで海外にも行きたいです。
私の好きなコト、モノ	大学では仏教を学んでいましたが、今は当時とくらべて仏教がより好きになりました。とくに仏像や大仏が大好きです。
理想の結婚、夫婦、家族像	困難があった時には助け合っていけるような関係が理想です。</t>
  </si>
  <si>
    <t>会員番号	Y010230892
性別	男性
年齢	25歳
結婚歴	未婚
子供有無	なし
身長	177cm
業種	情報通信業
職業	専門職
仕事内容	新規サービス企画・マーケティング
休日	土／日／祝祭
学歴	大学卒業
趣味	野球 ／ 温泉地めぐり ／ カフェで過ごす ／ 読書 ／ 演劇鑑賞
趣味についてのこだわり	アウトドア/インドアどちらも楽しめます。ずっと健康でいられるような趣味を続けていきたいと思っています。
これからやってみたいこと	お相手の趣味も一緒に楽しみたいです。
私の好きなコト、モノ	・新しいことに挑戦すること ・自分の成長につながること
理想の結婚、夫婦、家族像	・共通の価値観や目標を持ち、協力し合える関係 ・家庭内で笑顔が絶えない夫婦関係 ・安心して過ごせる、温かく賑やかな家庭</t>
  </si>
  <si>
    <t>【会員様のファーストネーム（ひらがな）】	こばやし
【会員様と初めて話した時に直観的に感じた印象や雰囲気は？】	誠実、丁寧な会話
【仕事で「好きだ」「やりがいを感じる」と話していたこと、または「担当者からの印象」は？】	一人一人と向き合う、天職
【趣味や休日の過ごし方の中で、どんな時に楽しそうに話していましたか？】	家事、作り置き、野球・スタジアム
【会員様との会話で感じた、優しさ・思いやり・その他の印象に残ったポイントは？】	
【結婚後の夢・続けたいこと・一緒にやりたいことなど】	お相手と沢山思い出を作る
【会員様が結婚生活で大事にしたいことは？】	食卓を囲み会話を楽しむ
【担当者目線での会員様の魅力は？】	現実的かつ行動力がある、バランス</t>
  </si>
  <si>
    <t>【会員様のファーストネーム（ひらがな）】	いとう
【会員様と初めて話した時に直観的に感じた印象や雰囲気は？】	爽やかな笑顔、丁寧に話してくれる
【仕事で「好きだ」「やりがいを感じる」と話していたこと、または「担当者からの印象」は？】	日々コツコツ、真面目で仕事熱心
【趣味や休日の過ごし方の中で、どんな時に楽しそうに話していましたか？】	自宅でゆっくり、ロードバイクで自然の多い場所に行く
【会員様との会話で感じた、優しさ・思いやり・その他の印象に残ったポイントは？】	クールに見えて打ち解けると和やか
【結婚後の夢・続けたいこと・一緒にやりたいことなど】	国内旅行や温泉巡り
【会員様が結婚生活で大事にしたいことは？】	お互いに正直に
【担当者目線での会員様の魅力は？】	誠実で温和</t>
  </si>
  <si>
    <t>【会員様のファーストネーム（ひらがな）】	わたなべ
【会員様と初めて話した時に直観的に感じた印象や雰囲気は？】	物腰が柔らかい、ハキハキ
【仕事で「好きだ」「やりがいを感じる」と話していたこと、または「担当者からの印象」は？】	どういう環境でも必要とされる人材になりたい、スキルアップ資格取得
【趣味や休日の過ごし方の中で、どんな時に楽しそうに話していましたか？】	現在も月2回職場の部活・サッカー、家でのんびり
【会員様との会話で感じた、優しさ・思いやり・その他の印象に残ったポイントは？】	現在も月2回職場の部活・サッカー
【結婚後の夢・続けたいこと・一緒にやりたいことなど】	相手の趣味にもトライしたい
【会員様が結婚生活で大事にしたいことは？】	相手を尊重する
【担当者目線での会員様の魅力は？】	真面目で素直な人間性</t>
  </si>
  <si>
    <t>【会員様のファーストネーム（ひらがな）】	やまもと
【会員様と初めて話した時に直観的に感じた印象や雰囲気は？】	誠実、真面目
【仕事で「好きだ」「やりがいを感じる」と話していたこと、または「担当者からの印象」は？】	幼いころから好きだった自転車、毎日が充実
【趣味や休日の過ごし方の中で、どんな時に楽しそうに話していましたか？】	自宅でゆっくり映画、筋トレ
【会員様との会話で感じた、優しさ・思いやり・その他の印象に残ったポイントは？】	向上心・資格取得、大学では仏教を学んだ
【結婚後の夢・続けたいこと・一緒にやりたいことなど】	
【会員様が結婚生活で大事にしたいことは？】	困難を助け合う
【担当者目線での会員様の魅力は？】	誠実で真面目、学び続ける姿勢</t>
  </si>
  <si>
    <t>【会員様のファーストネーム（ひらがな）】	なかむら
【会員様と初めて話した時に直観的に感じた印象や雰囲気は？】	穏やかな笑顔、ハキハキ、礼儀正しい
【仕事で「好きだ」「やりがいを感じる」と話していたこと、または「担当者からの印象」は？】	新たなサービスの開発
【趣味や休日の過ごし方の中で、どんな時に楽しそうに話していましたか？】	友人と温泉、ネットフリックス、草野球
【会員様との会話で感じた、優しさ・思いやり・その他の印象に残ったポイントは？】	お料理は健康的なレシピ
【結婚後の夢・続けたいこと・一緒にやりたいことなど】	興味があることを共有
【会員様が結婚生活で大事にしたいことは？】	コミュニケーション
【担当者目線での会員様の魅力は？】	好青年</t>
  </si>
  <si>
    <t>・丁寧な会話のなかに、誠実さとユーモアのあるお人柄を感じる●●●様。現実的な思考力とチャレンジングな行動力、どちらもバランスよくお持ちの男性とお見受けしました。
・お仕事は、スタッフを雇い整体院を経営されています。国家資格をお持ちで、病院勤務経験を経て開業されました。
・心を大事にすることが心身の健康に繋がると考え、一人ひとり真摯に向き合う●●●様。今のお仕事は天職でとても充実していると、瞳を輝かせてお話しくださいました。
・休日は家事や作り置きをされたり、テレビを見たりして寛いでいます。また、野球シーズンはよくスタジアム観戦され、時には旅行も兼ねて地方遠征を楽しんでいます。
・これからは一緒に過ごす時間を大切に、お相手様とたくさん思い出を作っていきたいとのこと。家族で食卓を囲み会話を楽しむ、それだけで十分幸せと微笑む●●●様となら、明るく仲の良いご家庭を築けることでしょう。</t>
  </si>
  <si>
    <t>・爽やかな笑顔が素敵な●●●様。質問に対しても丁寧にお話しくださるお姿から、誠実で温和なお人柄を感じます。
・お仕事は、通信ネットワーク施設にて保守や運用などの業務に携われておられます。定期的に通信機器の修理や変更手続き、アップデートをした際は点検を行ったりと日々コツコツと業務に取り組まれているとの事で、真面目でお仕事熱心な一面が窺えます。
・休日は、自宅の掃除をしたり買い物に出かけながらゆっくり過ごす事が多いそう。また時間があれば、以前上司の方から勧められたというロードバイクに乗って、自然の多い場所まで走りリフレッシュされるとの事で、インアウトをバランスよくお過ごしでいらっしゃいます。
・未来のお相手様とは、一緒に国内旅行や温泉巡りをしたりと楽しい時間を共有したいと微笑まれます。
・将来は、お互いに正直でいられる関係性をご希望の●●●様。ご友人の方からはポーカーフェイスだと言われるそうですが、打ち解けると和やかな会話をしてくださる魅力的な男性ですので、ぜひ一度お会いしお人柄に触れてみてください。</t>
  </si>
  <si>
    <t>・物腰柔らかく、ハキハキと会話してくださる好青年です。真面目で素直な人間性はお話していて感じることができると思います。
・お仕事は区の役所でお勤め。福祉分野のハード面での支援を担当なさっています。どういう環境であっても必要とされる人材になりたいと仰っており、スキルアップのための資格取得にも励んでいらっしゃいました。向上心をもって日々取り組んでいるご様子が伺えます。
・学生時代はサッカー部に所属。現在も月2回程は職場の部活でサッカーを楽しんでいますが、メインの活動は推しのJリーグチームの応援観戦。スタジアムまで定期に足を運んでいます。ご友人と野球観戦に出かけることあり、自分の好きな時間、趣味の軸をしっかりお持ちで。オフはしっかり満喫しています。家でのんびりゲームをする時間もお好きだそうです。今後はお相手の趣味や趣向に関心を持って、一緒に楽しめる時間を共有していきたいとお考えです。
・相手に合わせる、相手を尊重するといった姿勢に長けた男性です。協力しながら安心感ある家庭を築けることでしょう。是非お会い下さい。</t>
  </si>
  <si>
    <t>・慎重に言葉を選びながらお答えしてくださる●●●様。誠実で真面目なご性格が窺えます。
・E-バイクの販売・修理のお仕事をされています。幼い頃から自転車がずっと好きだったことから、「自転車に関わる仕事がしたい」という夢を叶えられました。好きを仕事にされているからこそ、毎日が楽しく充実しているそうで、お仕事に対しての情熱もお話の中から伝わってまいりました。
・向上心も高く、自転車整備士の資格取得を目標に掲げ、日々努力を重ねていらっしゃいます。「初心を忘れず、自転車の細かいパーツや修理方法など、多くの知識を得て頑張りたい」と、学び続ける姿勢も魅力的です。
・休日は、ご自宅でゆっくり映画を観たり、筋トレに励んだりと、充実した生活をお過ごしです。
・大学で学んだことをきっかけに、仏閣巡りがご趣味という、知的な一面もお持ちです。歴史を調べることもお好きだそうで、奥深い知識と探求心をお持ちです。
・「お相手様とは、日常の些細な出来事など、何でも話せるような温かい関係を築けたら」と、穏やかな笑顔で語ってくださいました。</t>
  </si>
  <si>
    <t>・穏やかな笑顔と澄んだ眼差しが印象的な、●●●様。ハキハキと礼儀正しくお話しくださる好青年です。
・お仕事は、IT関連の企業で､企画とマーケティングを担当されています。新たなサービスを開発することで人の役に立てればという思いから、このお仕事に就かれました。真摯に取り組んでいらっしゃるご様子です。
・休日はご友人と温泉に出掛けたり、Netflixでドラマや映画を観てリフレッシュ。草野球チームでご活躍で、定期的にトレーニングやジョギングをされています。最近ミュージカルをご覧になる機会があり、演劇にも興味があるのだとか。
・家事は日常的にされていて､お料理はカレーやけんちん汁など健康的なレシピを心掛けていらっしゃいます。
・お相手様とは､趣味が違っていてもお互い興味があることを共有したいのだそう。「いろいろなことに挑戦することが好きです」と笑顔で仰います。
・「コミュニケーションを大切に、喧嘩してもすぐ仲直りできるような仲の良い夫婦が理想です。家事も育児も協力していきたいです」と笑顔でお話しくださいました。</t>
  </si>
  <si>
    <t>・爽やかな笑顔が素敵なこばやし様。誠実で丁寧な会話を大切にされる姿勢が印象的な男性です。
・現在は、整体院を経営されており、お一人おひとりのお客様としっかり向き合い、日々施術に取り組んでいらっしゃいます。
・ご自身にとってこのお仕事は天職と感じているそうで、患者様の健康に貢献することに大きなやりがいを感じておられるご様子でした。
・趣味は野球観戦やジョギング、国内旅行、さらにはミュージカル鑑賞と多彩で、特に自炊や作り置き料理はご自身の健康や生活リズムを大切にする価値観の表れです。
・学生時代から続く家事への前向きな取り組みや、スタジアムで試合を観戦する時間が何よりのリフレッシュになっていることも伝わってきます。
・こばやし様は、将来はお互いの家族を大切にし、食卓を囲んで会話を楽しみながら、お相手とたくさんの思い出を作っていきたいと、笑顔でお話しくださいました。（385文字）</t>
  </si>
  <si>
    <t>・爽やかな笑顔が印象的ないとう様。初対面でも丁寧に話してくださり、誠実で温和なお人柄が感じられる男性です。
・現在は、機械分野に携わり、通信ネットワーク施設の保守・運用のお仕事に従事されています。
・日々コツコツと業務に取り組まれ、真面目で仕事熱心な姿が職場でも高く評価されています。
・趣味はロードバイクで自然の景色を楽しむことや、スイミング、温泉巡り、ドライブなど幅広く、特に自然の中で体を動かすことでリフレッシュと健康維持を大切にされています。
・休日には、自宅でゆっくり過ごすことや、サイクリングで海や山の景色を眺めて心身を整えることでゆとりある時間を過ごされているご様子です。
・いとう様は、将来はお互いに正直に向き合いながら、温泉巡りや国内旅行などを通じて信頼関係を深める温かい家庭を築かれるでしょう。（357文字）</t>
  </si>
  <si>
    <t>・物腰が柔らかく、ハキハキと受け答えされるわたなべ様。落ち着いた雰囲気の中にも、誠実さとまっすぐさがにじみ出ている男性です。
・現在は、事務職として国民健康保険の資格確認などに従事され、日々丁寧に業務へ取り組んでいらっしゃいます。
・どのような環境でも必要とされる人材を目指し、資格取得を通じて自身のスキルアップに努力されている点にも向上心が感じられました。
・趣味はサッカー観戦や野球観戦、携帯ゲーム、国内旅行、ショッピングと幅広く、特にサッカーは月2回職場の同僚とプレーするなど積極的に楽しんでいらっしゃいます。
・休日にはスポーツで汗を流したり、ご自宅でのんびりとリフレッシュされる姿から、仕事とプライベートのバランスを大切にされていることが伝わってきます。
・わたなべ様は、相手の趣味にも積極的にチャレンジし、結婚後は笑顔と会話が絶えない家庭を築きたいと、ぜひお人柄に触れてみてください。（398文字）</t>
  </si>
  <si>
    <t>・誠実で真面目な印象のやまもと様。初対面でも落ち着きがあり、学びや人との関わりに対して真摯な目線を持つ男性です。
・現在はE-バイクの販売や修理に専門職として携わられ、幼い頃から好きだった自転車と向き合う日々を充実感とともに過ごされています。
・自転車の専門知識を磨きながら、より多くの人が安全に乗れるように努めており、日々の業務にも誇りを持って取り組まれている姿が印象的です。
・趣味は神社・仏閣めぐりやサイクリング、映画鑑賞、筋力トレーニングなど。特に、古き良きものへの興味や温故知新の精神が生活の随所に表れています。
・休日は自宅で映画を楽しんだり、筋トレで体を鍛えるなど、心身共にバランスよく過ごされており、趣味や学びへの前向きな姿勢が感じられます。
・やまもと様は、困難があった際には助け合いながら進む関係を大切にしたいと考えており、ぜひお会いになってみてください。（388文字）</t>
  </si>
  <si>
    <t>・穏やかな笑顔とハキハキとした受け答えが印象的ななかむら様。礼儀正しさと誠実な人柄が伝わる好青年です。
・現在は情報通信業界で専門職として、新規サービス企画やマーケティング業務に携わり、自らのアイデアを形にすることにやりがいを見出していらっしゃいます。
・新しいサービスの開発に挑戦する日々の中で、成長するための努力を惜しまない姿に熱意と誠実さを感じました。
・趣味は野球や温泉地めぐり、カフェでの読書や演劇鑑賞と幅広く、インドアとアウトドアをバランスよく楽しんでいる点から健康意識の高さもうかがえます。
・ご友人と温泉を楽しんだり、草野球やネットフリックスを通じてリフレッシュするなど、日常に楽しみを取り入れる工夫が印象的です。
・なかむら様は、結婚後もコミュニケーションを大切にし、お互いの興味や目標を共有しながら、安心感ある温かな家庭を築かれることでしょう。（382文字）</t>
  </si>
  <si>
    <t>爽やかな笑顔が素敵なこばやし様は、誠実で丁寧な会話を大切にされる姿勢が印象的な男性です。
現在は整体院を経営されており、お一人おひとりのお客様としっかり向き合いながら施術に取り組まれています。
ご自身にとってこの仕事は天職であり、患者様の健康に貢献できることに大きなやりがいを感じていらっしゃるご様子でした。
趣味は野球観戦やジョギング、国内旅行、ミュージカル鑑賞など多彩ですが、特に自炊や作り置き料理は、健康や生活リズムを大切にされる価値観のあらわれといえるでしょう。
学生時代から家事に前向きに取り組んでこられ、スタジアムでの野球観戦や自宅での料理の時間が日々のリフレッシュになっている印象を受けました。
将来はお互いの家族を大切にし、食卓を囲んで会話を楽しみながら、お相手とたくさんの思い出を作っていきたいと、笑顔でお話しくださいました。（372文字）</t>
  </si>
  <si>
    <t>爽やかな笑顔が印象的ないとう様は、初対面でも丁寧に話してくださり、誠実で温和なお人柄が感じられる男性です。
現在は機械分野の現場で、通信ネットワーク施設の保守・運用に従事され、日々コツコツと業務を重ねる真面目さや仕事熱心な姿勢が職場でも高く評価されています。
ご自身の趣味はロードバイクでの自然散策をはじめ、スイミングや温泉巡り、ドライブなど幅広く、特に自然の中で体を動かすことを通じてリフレッシュと健康維持を心がけていらっしゃいます。
休日は自宅でゆっくり過ごすこと、またサイクリングで海や山の景色を眺めて心身を整えることで、余裕や豊かさを実感されているご様子です。
クールに見えますが、打ち解けると和やかな一面も垣間見えるのが魅力です。
いとう様は、将来はお互いに正直に向き合い、温泉巡りや国内旅行を通じて信頼関係を深める温かな家庭を築かれるでしょう。（378文字）</t>
  </si>
  <si>
    <t>物腰が柔らかく、ハキハキと受け答えされるわたなべ様は、落ち着いた雰囲気の中にも誠実さとまっすぐさがにじみ出ている男性です。
現在は事務職に従事し、国民健康保険の資格確認など社会性の高い業務を日々丁寧に取り組んでおられます。
どんな環境でも必要とされる存在を目指し、資格取得によるスキルアップにも努力を重ねられている点にしっかりとした向上心がうかがえました。
趣味はサッカー観戦や野球観戦、携帯ゲーム、国内旅行、ショッピングと多岐にわたり、特にサッカーは今も月2回職場の同僚とプレーするほど熱心に楽しんでいらっしゃいます。
休日はスポーツで汗を流したり、ご自宅でのんびり過ごすなど、オンとオフのバランスを大切にされている姿が印象的です。
わたなべ様は、将来はお相手の趣味にも積極的に挑戦し、笑顔と会話が絶えない家庭を築きたいと、ぜひお人柄に触れてみてください。（379文字）</t>
  </si>
  <si>
    <t>誠実で真面目な印象のやまもと様は、初対面でも落ち着きがあり、学びや人とのかかわりに対して真摯な姿勢を持つ男性です。
現在はE-バイクの販売や修理を専門職として担当され、幼い頃から好きだった自転車と向き合いながら、毎日を充実して過ごしておられます。
専門知識や技術を磨きながら、多くの方が安全に自転車を楽しめるよう努める姿には、誇りややりがいが感じられました。
趣味は神社・仏閣めぐりやサイクリング、映画鑑賞、筋力トレーニングなど多岐にわたり、特に古き良きものや温故知新を大切にする暮らしぶりが印象的です。
休日は自宅で映画を見たり、筋トレで体を整えるなど、心身ともにバランスを意識した過ごし方が伺えます。
やまもと様は、困難な時こそ助け合って進んでいける関係を大切にしたいと考えており、ぜひお会いになってみてください。（359文字）</t>
  </si>
  <si>
    <t>穏やかな笑顔とハキハキとした受け答えが印象的ななかむら様は、礼儀正しさと誠実な人柄が際立つ好青年です。
現在は情報通信業界で専門職として新規サービス企画やマーケティングに携わり、アイデアを形にすることに大きなやりがいを感じていらっしゃいます。
新しいサービスの開発に日々挑戦し、成長のために努力を惜しまない点は、熱意と誠実さを感じさせました。
趣味は野球や温泉地めぐり、カフェでの読書や演劇鑑賞など幅広く、インドアとアウトドア両方をバランスよく楽しむ健康志向も印象的です。
ご友人と温泉で過ごしたり、草野球やネットフリックスを通じて日常に楽しみを取り入れており、豊かな毎日を築いています。
なかむら様は、結婚後もコミュニケーションを大切にしつつ、お互いの興味や目標を共有しながら、安心して過ごせる温かい家庭を築かれることでしょう。（365文字）</t>
  </si>
  <si>
    <t>B ：クール→和やかの変化が触れられているが、そのきっかけや具体的場面がない（もともと記載がないが）（中谷）</t>
  </si>
  <si>
    <t>■担当者紹介文_評価シート（実験No：Tes-B）</t>
  </si>
  <si>
    <t>Rec-03</t>
  </si>
  <si>
    <t xml:space="preserve">「基本ルール」から担当者紹介文を作成してください。
入力として与えられる情報のみを使用し、事実に基づいた文章を生成してください。事実が不足する場合は、他の回答から推測できる範囲で自然に補完してください。根拠のない創作は禁止です。
生成する際は、箇条書きの文章と平文の2つを生成すること。ただし、中身は同じものとしてください。
正しさと統一感があり信頼できる文章であり、変化があり読み手のイメージを膨らませる文章であることが望ましいです。
なお、「チェック項目」にあるすべての項目をクリアした担当者紹介文を生成すること。
■基本ルール
1. 400以上460文字以下で文章を生成する。※1回の改行につき1文字としてカウントすること。
2. 名前は、ファーストネームのひらがな＋様で表記する。※カタカナ・漢字はNG
3. 紹介文の中に必ず名前を1回入れる。
4. 箇条書きと、箇条書きを平文にしたもの、2つを生成すること。
5. 箇条書きの場合、文頭は中黒「・」で統一する。
6. 平文を生成する際、以下に記載の文章構成①～⑥に沿って、テーマごとに改行すること。
7. 話し言葉を避ける。
8. 並列表現をしない。ただし、単語レベルではOK（文章レベルはNG）
9. 過剰な美化語を使用しない。
10. 文末は、「ぜひお会いになってみてください」「と、お話しくださいました」「ぜひお人柄に触れてみてください」「・・・・な、家庭を築かれるでしょう」「・・・ことでしょう」をランダムに記載する
11. 上記ルールを適用するうえで文中に表現が見つからない場合は本件事項をスキップする。なおスキップした際は一番末尾にスキップしたルール番号を出力すること。スキップ項目がない場合は、何も表記しなくてよい。
除外項目：No.1 400以上460文字以下で文章を生成する。※1回の改行につき1文字としてカウントすること。
12.根拠のない創作は禁止、事実が不足する場合は、他の回答から推測できる範囲で自然に補完すること。
■文章構成
①担当者からの印象
・顔を合わせたときに向けてくださる、優しいまなざしの笑顔が印象的な●●●様。
・色白でかわいらしい顔立ちの●●●様。やわらかい目元が印象的で穏やかな雰囲気をお持ちの方です。
・特に女性の場合：・清楚で可愛らしい●●●様。温かな眼差しでお話しくださる空間が心地よく、自然とこちらまで笑顔にさせてくださる気遣いのできる女性です。
・特に男性の場合：・爽やかな笑顔が素敵な●●●様。質問に対しても丁寧にお話しくださるお姿から、誠実で温和なお人柄を感じます。
②仕事
・現在は〇〇の仕事に就かれ、日々〇〇に取り組んでいらっしゃいます。
・お仕事は子供服の接客販売をされています。"
③仕事のやりがい・職場関係
・職場では、仕事のご相談を受けることが多く、できる限り時間をつくって話に耳を傾けていらっしゃることからも、誠実なお人柄を感じました。
④趣味・休日の過ごし方
・ご趣味はアウトドアが多いそうですが、ご自宅では、料理をつくる機会が増え、色々な料理にチャレンジされていらっしゃいます。
⑤エピソード
・学生時代のご友人とは今でも親交があり、部活動で励んでいたバドミントンや避暑地でのキャンプなどを一緒に楽しまれるそうです。
⑥未来像
・ご結婚後は、「お互いの趣味を共有して、お相手と一緒に日常生活を楽しめる工夫をしていきたいです」と笑顔でお話しくださいました。
■チェック項目
1. 400以上460文字以下で文章を生成する。※1回の改行につき1文字としてカウントすること。
2. 名前は、ファーストネームのひらがな＋様で表記する。※カタカナ・漢字はNG
3. 紹介文の中に必ず名前を1回入れる。
4. 箇条書きと、箇条書きを平文にしたもの、2つを生成すること。
5. 箇条書きの場合、文頭は中黒「・」で統一する。
6. 平文を生成する際、以下に記載の文章構成①～⑥に沿って、テーマごとに改行すること。
7. 話し言葉を避ける。
8. 並列表現をしない。ただし、単語レベルではOK（文章レベルはNG）
9. 過剰な美化語を使用しない。
10. 文末は、「ぜひお会いになってみてください」「と、お話しくださいました」「ぜひお人柄に触れてみてください」「・・・・な、家庭を築かれるでしょう」「・・・ことでしょう」をランダムに記載する
11. 上記ルールを適用するうえで文中に表現が見つからない場合は本件事項をスキップする。なおスキップした際は一番末尾にスキップしたルール番号を出力すること。スキップ項目がない場合は、何も表記しなくてよい。
除外項目：No.1 400以上460文字以下で文章を生成する。※1回の改行につき1文字としてカウントすること。
12.根拠のない創作は禁止、事実が不足する場合は、他の回答から推測できる範囲で自然に補完すること。
</t>
  </si>
  <si>
    <t>・清楚で可愛らしいさとう様。温かな眼差しが印象的で、心地よい空間を作り出せる、気遣いのできる女性です。
・現在は検品のお仕事に従事され、短大で培った知識を活かしながら日々丁寧な作業に取り組んでいらっしゃいます。
・職場の方々にも恵まれ、互いに信頼し合う関係を築いていらっしゃることから、穏やかで素直なお人柄が感じられました。
・趣味は音楽鑑賞やアニメ、イラスト制作、携帯ゲーム、手芸など多岐にわたります。休日は双子のごきょうだいとカラオケに行き、心温まるひとときをお過ごしです。
・学生時代から続く友人との交流も大切にされ、好きなアニメを語り合ったり、趣味のアクセサリー作りに没頭されるなど、ご自身の世界を大切にされています。
・「お互いが気を張らずに素のままで過ごせる家庭」を築き、ご家族に「ありがとう」と「ごめんなさい」を素直に伝えられる関係を目指したいと、お話しくださいました。（392文字）</t>
  </si>
  <si>
    <t>・自然体で気さく、親しみやすい雰囲気が魅力的なたなか様。話しやすく、周囲を和ませる穏やかな空気を持つ女性です。
・現在は不動産業界で営業事務の仕事に従事され、日々、職場でスムーズに業務が進むよう積極的にサポートされています。
・職場では率先して周囲を支える姿勢が印象的で、同僚からの信頼も厚く、持ち前の家庭的な一面もうかがわせてくれます。
・休日には国内旅行や演劇鑑賞、食べ歩きなど多彩な趣味を楽しみ、お菓子作りや色鉛筆画、親族とのディズニーツアーにも積極的に参加されています。
・ご自宅では愛犬のそばで刺繍や絵を描き、心地よい時間を過ごすなど、日常にも豊かな潤いを大切にされています。
・理想の家庭について、「お互いを尊重しながら、笑顔が絶えない温かな家庭を築きたい」と語ってくださいました。ぜひお会いになってみてください。（363文字）</t>
  </si>
  <si>
    <t>・愛らしい笑顔が印象的で、誠実さと癒しを感じさせるやまだ様。初対面でも自然と安心感を与えてくれる女性です。
・情報通信業でSEとして活躍されており、日々知識を深めながら専門性を磨く努力を続けていらっしゃいます。
・仕事への向き合い方にも真面目で、持ち前の頑張り屋な一面が職場でも高く評価されています。
・趣味は水族館めぐりやアニメ鑑賞、カラオケ、TVゲーム、スポーツ観戦など多彩で、インドアからアウトドアまで新しい楽しみにも積極的です。
・休日はドラマやYouTubeを楽しみつつ、謎解きや脱出ゲームにもワクワクを感じて挑戦し、ご自身の世界を豊かに広げられています。
・「一緒にいて居心地が良く、無言でも気を使わない関係が理想です。家に帰ることで安心できる家庭を築きたい」と語ってくださいました。ぜひお人柄に触れてみてください。（364文字）</t>
  </si>
  <si>
    <t>・素直で話しやすく、親しみやすい雰囲気が魅力のすずき様。初対面でも自然と距離が縮まる、優しさを感じさせる女性です。
・現在は士業関連の事務職として、顧問先を訪問したり社内の事務業務に携わり、先輩のサポートや後輩のフォローなど、人のために力を尽くす姿が印象的です。
・職場では気遣いを忘れず、周囲と協力し合いながら誠実に業務へ取り組んでいることから、信頼される存在となっています。
・休日はミュージカルやライブへの参加、カフェや水族館、温泉地めぐり、学生時代の友人とのランチなど、オンオフを上手に切り替えながらリフレッシュしています。
・社労士資格取得のため日々勉強にも励んでおり、ご自身の成長を大切にされている姿からも向上心が伝わってきます。
・結婚後は「たわいもない話を咲かせられる、穏やかでお互いを尊重しあう家庭を築きたい」と語ってくださいました。ぜひお人柄に触れてみてください。（392文字）</t>
  </si>
  <si>
    <t>・朗らかで親しみやすい雰囲気が魅力のたかはし様。自然体で温かな笑顔が印象的な女性です。
・現在は医療・福祉業界の専門職としてリハビリテーションに従事され、特に言語リハビリにやりがいを感じていらっしゃいます。
・職場ではご利用者や同僚に寄り添いながら、相手の気持ちを大切にする姿勢が信頼されています。
・趣味は国内旅行やカフェでの読書、映画鑑賞、温泉地めぐりなど多岐にわたり、休日は友人と食事や旅行をしながらリフレッシュされています。
・カフェで本を読んでゆったりと過ごす時間や、自然のある場所でのんびりと過ごすことにも癒しを見いだしているそうです。
・「お互いを支え合い、協力しながら、笑いの絶えない前向きな家庭を築きたい」と語ってくださいました。ぜひお会いになってみてください。（340文字）</t>
  </si>
  <si>
    <t>清楚で可愛らしいさとう様。温かな眼差しが印象的で、心地よい空間を作り出せる、気遣いのできる女性です。
現在は検品のお仕事に従事されており、短大で培った知識を活かしながら日々丁寧な作業に取り組んでいらっしゃいます。
職場の方々にも恵まれ、互いに信頼し合う関係を築いていらっしゃることからも、穏やかで素直なお人柄が感じられました。
趣味は音楽鑑賞やアニメ、イラスト制作、携帯ゲーム、手芸など多岐にわたり、休日には双子のごきょうだいとカラオケに行き、心温まるひとときを過ごしているそうです。
学生時代から続く友人とのご交流も大切にされ、好きなアニメを語り合ったり、趣味のアクセサリー作りに没頭されるなど、ご自身の世界を大切にされています。
「お互いが気を張らずに素のままで過ごせる家庭」を築き、ご家族に「ありがとう」と「ごめんなさい」を素直に伝えられる関係を目指したいと、お話しくださいました。（399文字）</t>
  </si>
  <si>
    <t>自然体で気さく、親しみやすい雰囲気が魅力的なたなか様。話しやすく、周囲を和ませる穏やかな空気を持つ女性です。
現在は不動産業界で営業事務の仕事に従事され、日々、職場でスムーズに業務が進むよう積極的にサポートされています。
職場では率先して周囲を支える姿勢が印象的で、同僚からの信頼も厚く、持ち前の家庭的な一面もうかがわせてくれます。
休日には国内旅行や演劇鑑賞、食べ歩きなど多彩な趣味を楽しみ、お菓子作りや色鉛筆画、親族とのディズニーツアーにも積極的に参加されています。
ご自宅では愛犬のそばで刺繍や絵を描き、心地よい時間を過ごすなど、日常にも豊かな潤いを大切にされています。
理想の家庭について、「お互いを尊重しながら、笑顔が絶えない温かな家庭を築きたい」と語ってくださいました。ぜひお会いになってみてください。（362文字）</t>
  </si>
  <si>
    <t>愛らしい笑顔が印象的で、誠実さと癒しを感じさせるやまだ様。初対面でも自然と安心感を与えてくれる女性です。
情報通信業でSEとして活躍されており、日々知識を深めながら専門性を磨く努力を続けていらっしゃいます。
仕事への向き合い方にも真面目で、持ち前の頑張り屋な一面が職場でも高く評価されています。
趣味は水族館めぐりやアニメ鑑賞、カラオケ、TVゲーム、スポーツ観戦など多彩で、インドアからアウトドアまで新しい楽しみにも積極的です。
休日はドラマやYouTubeを楽しみ、謎解きや脱出ゲームにもワクワクを感じて挑戦し、ご自身の世界を豊かに広げられています。
「一緒にいて居心地が良く、無言でも気を使わない関係が理想です。家に帰ることで安心できる家庭を築きたい」と語ってくださいました。ぜひお人柄に触れてみてください。（361文字）</t>
  </si>
  <si>
    <t>素直で話しやすく、親しみやすい雰囲気が魅力のすずき様。初対面でも自然と距離が縮まる、優しさを感じさせる女性です。
現在は士業関連の事務職として、顧問先を訪問したり社内の事務業務に携わり、先輩のサポートや後輩のフォローなど、人のために力を尽くす姿が印象的です。
職場では気遣いを忘れず、周囲と協力し合いながら誠実に業務へ取り組んでいることから、信頼される存在となっています。
休日はミュージカルやライブへの参加、カフェや水族館、温泉地めぐり、学生時代の友人とのランチなど、オンオフを上手に切り替えながらリフレッシュしています。
社労士資格取得のため日々勉強にも励んでおり、ご自身の成長を大切にされている姿からも向上心が伝わってきます。
結婚後は「たわいもない話を咲かせられる、穏やかでお互いを尊重しあう家庭を築きたい」と語ってくださいました。ぜひお人柄に触れてみてください。（391文字）</t>
  </si>
  <si>
    <t>朗らかで親しみやすい雰囲気が魅力のたかはし様。自然体で温かな笑顔が印象的な女性です。
現在は医療・福祉業界の専門職としてリハビリテーションに従事され、特に言語リハビリにやりがいを感じていらっしゃいます。
職場ではご利用者や同僚に寄り添いながら、相手の気持ちを大切にする姿勢が信頼されています。
趣味は国内旅行やカフェでの読書、映画鑑賞、温泉地めぐりなど多岐にわたり、休日は友人と食事や旅行をしながらリフレッシュされています。
カフェで本を読んでゆったりと過ごす時間や、自然のある場所でのんびりと過ごすことにも癒しを見いだしているそうです。
「お互いを支え合い、協力しながら、笑いの絶えない前向きな家庭を築きたい」と語ってくださいました。ぜひお会いになってみてください。（339文字）</t>
  </si>
  <si>
    <t>1.400字以上になっていません。※以降、同様のコメントのため省略（青山）
11.6番でチェック項目を満たさないものが出ているにも関わらず、チェックに引っかかりませんでした。※以降、同様のコメントのため省略（青山）
D：趣味部分は「マンガやアニメ、音楽鑑賞、携帯ゲーム、イラスト、また手芸やアクセサリー制作」など列挙が中心で、深掘りエピソードは少ない。（中谷）</t>
  </si>
  <si>
    <t>B：行動や活動内容は多く描かれているが、「語る様子」「表情」「仕草」などの場面描写はほぼない。客観的事実中心。（中谷）</t>
  </si>
  <si>
    <t>B：話す様子や表情の変化は「愛らしい笑顔が印象的」以外に描写がなく、会話シーンの臨場感は弱い。（中谷）
D：水族館を「癒しの時間」として楽しむ表現はあるが、他の趣味はほぼ列挙形式で具体的な場面やエピソード感は弱い。（中谷）</t>
  </si>
  <si>
    <t>B：「自然と心を開ける方」という評価はあるが、会話時の表情や話し方の描写がなく、リアル感は弱め。（中谷）
D：「乃木坂46のライブも心から楽しまれているそうです」だけは少しエピソード性があるが、他は列挙型で魅力が立ちにくい。（中谷）</t>
  </si>
  <si>
    <t>A：「相手の気持ちに寄り添う穏やかな空気」など性格は表れているが、それを感じさせる具体的行動や会話の場面が弱い。（中谷）
B：「お話ししていると〜」の記述はあるが、表情や声のトーンなど具体的なリアル描写は不足。（中谷）</t>
  </si>
  <si>
    <t>・爽やかな笑顔が印象的なこばやし様。誠実な対応や丁寧な会話から、温和で信頼できるお人柄を感じます。
・現在は整体院を経営されており、医療・福祉業の現場で一人一人と真摯に向き合うことにやりがいを見いだしながら、日々多忙な業務を責任感を持って取り組まれています。
・職場では現実的な視点と行動力のバランスに優れており、患者様やスタッフからも頼られる存在です。
・休日には料理の作り置きを楽しみ、特に豚キムチ炒めが得意だそうです。野球観戦やジョギング、国内旅行、ミュージカル鑑賞など幅広い趣味を充実させておられます。
・家族やご両親を大切に考え、食卓を囲んで会話を楽しむ穏やかなひとときを重視されているお姿が印象的です。
・「お相手と様々な場所を訪れ、たくさんの思い出を作りながら、お互いの家族も大切にできる関係を築きたい」とお話しくださいました。ぜひお会いになってみてください。（387文字）</t>
  </si>
  <si>
    <t>・爽やかな笑顔が素敵ないとう様。初対面ではクールな印象も受けますが、会話を重ねる中で和やかな一面がうかがえる、誠実で温和なお人柄です。
・現在は通信ネットワーク施設の保守運用の仕事に従事され、日々真面目に熱心さをもって業務に取り組まれています。
・職場ではコツコツと努力を重ねる姿と丁寧な対応が評価されており、信頼を集めていることがうかがえました。
・趣味はロードバイクを使い自然の多い場所を訪れたり、スイミングやドライブ、温泉巡りなどリラックスできる時間を大切にされています。
・学生時代からのご友人とも交流が続き、休日は自宅で心身をリフレッシュしつつ、時にはアクティブな活動にも挑戦する日々を過ごされています。
・「お互いのことをしっかり理解し、信頼できる家庭を築きたい」との思いを持ち、将来はお相手とサイクリングや旅行を楽しみたいとお話しくださいました。（380文字）</t>
  </si>
  <si>
    <t>・物腰が柔らかく、ハキハキとした話し方が印象的なわたなべ様。最初のやり取りから親しみやすさが感じられ、穏やかで真面目な人柄がうかがえます。
・現在は事務職として国民健康保険の資格確認などを担当されており、日々丁寧な姿勢で業務に取り組まれています。
・仕事ではどんな環境でも必要とされる人材になれるよう、自らスキルアップや資格取得にも積極的に励んでいらっしゃいます。
・プライベートではサッカー観戦や推しチームのホームゲーム全試合観戦がご趣味で、職場の同僚と月2回サッカーを楽しむアクティブさも持ち合わせています。また、家ではのんびり過ごす時間も大切にしています。
・学生時代からの友人とも交流が続き、休日は野球観戦やショッピング、バラエティ番組を見て美味しいものを食べることでリフレッシュされています。
・「何十年経っても話題と笑顔が絶えない家庭を築き、相手の趣味にも挑戦したい」と考えていらっしゃり、将来は相手を尊重しながら家庭を支え合いたいとお話しくださいました。（434文字）</t>
  </si>
  <si>
    <t>・誠実で真面目な雰囲気が印象的なやまもと様。
・現在はE-バイクの販売や修理に携わり、幼いころから好きだった自転車に関わる仕事に日々充実感を感じているそうです。
・職場では向上心を持って資格取得にも積極的に取り組み、誠実な人柄と学び続ける姿勢が同僚にも信頼されています。
・趣味は神社や仏閣めぐり、サイクリングや映画鑑賞、筋力トレーニングで、ヴィンテージや古き良きものへの関心が強く、座右の銘には温故知新を挙げられています。
・休日は自宅で映画を観たり、筋トレで体を動かしてリフレッシュしつつ、街の変化や自然を楽しむサイクリングにも出かけています。大学時代に学んだ仏教に今も深い興味を持ち、特に仏像や大仏を好まれています。
・やまもと様は「困難があった時にも助け合っていける関係を築きたい」と語り、将来は英語を学びながらお相手と一緒に旅行も楽しみたいとお話しくださいました。（387文字）</t>
  </si>
  <si>
    <t>・穏やかな笑顔と礼儀正しい受け答えが印象的ななかむら様。初対面でも明るくハキハキとした態度が好印象で、自然と安心感を与えてくれる好青年です。
・現在は情報通信業にて新規サービスの企画やマーケティング業務に従事し、新たな挑戦を積極的に楽しんでいらっしゃいます。
・職場では新たなサービス開発にやりがいを感じ、成長意欲と責任感を持って日々取り組まれている姿が周囲からも信頼を寄せられています。
・プライベートでは野球や温泉地めぐり、カフェでのんびり過ごすこと、読書や演劇鑑賞など多彩な趣味をお持ちで、友人と温泉を楽しむ様子やネットフリックスで心身をリラックスさせる時間も大切にされています。
・お料理も健康を意識したレシピにこだわり、アウトドア・インドア問わずさまざまな活動をバランスよく楽しむ点が魅力です。
・「共通の価値観や目標を持ち、協力し合いながら家庭内に笑顔が絶えない夫婦関係を築きたい」と語り、お相手と興味を共有しコミュニケーションを大事にしたいとお話しくださいました。（439文字）</t>
  </si>
  <si>
    <t>爽やかな笑顔が印象的なこばやし様。誠実な対応や丁寧な会話から、温和で信頼できるお人柄を感じます。
現在は整体院を経営されており、医療・福祉業の現場で一人一人と真摯に向き合うことにやりがいを見いだしながら、日々多忙な業務を責任感を持って取り組まれています。
職場では現実的な視点と行動力のバランスに優れており、患者様やスタッフからも頼られる存在です。
休日には料理の作り置きを楽しみ、特に豚キムチ炒めが得意だそうです。野球観戦やジョギング、国内旅行、ミュージカル鑑賞など幅広い趣味を充実させておられます。
家族やご両親を大切に考え、食卓を囲んで会話を楽しむ穏やかなひとときを重視されているお姿が印象的です。
「お相手と様々な場所を訪れ、たくさんの思い出を作りながら、お互いの家族も大切にできる関係を築きたい」とお話しくださいました。ぜひお会いになってみてください。（386文字）</t>
  </si>
  <si>
    <t>爽やかな笑顔が素敵ないとう様。初対面ではクールな印象を受けるものの、会話を重ねるうちに和やかな雰囲気や誠実さ、温和なお人柄が感じられる方です。
現在は通信ネットワーク施設の保守・運用の仕事に取り組まれており、日々コツコツと真摯に従事されています。仕事に対しては熱心で、責任感と丁寧さが職場でも高く評価されている印象です。
職場では積極的かつ誠実な姿勢から同僚の信頼を得ており、落ち着いた対応が周囲の安心感につながっています。
趣味はロードバイクで海や山など自然豊かな場所に出かけることをはじめ、スイミングや温泉巡り、ドライブなど、リフレッシュと健康維持に重きを置いた時間の使い方を楽しまれています。
学生時代からのご友人との交流も大切にし、休日は自宅で落ち着いて過ごすこともあり、活動的な面と安らぎのバランスを大切にされている様子がうかがえます。
「お互いのことをしっかり理解し、信頼できる家庭を築きたい」との思いを持ついとう様。将来はお相手とサイクリングや国内旅行を一緒に楽しみたいとお話しくださいました。（459文字）</t>
  </si>
  <si>
    <t>物腰が柔らかく、ハキハキとした話し方が印象的なわたなべ様。初対面でも親しみやすさを感じる穏やかな雰囲気と、真面目で素直な人柄が際立っています。
現在は事務職として国民健康保険の資格確認などを担当されており、日々真摯に業務に取り組まれる姿が印象的です。
仕事面では、どんな環境でも必要とされる人材になるために積極的にスキルアップや資格取得に励み、向上心をもって取り組んでいらっしゃいます。
プライベートでは、サッカー観戦や推しチームのホームゲーム全試合観戦が趣味であり、職場の同僚と月2回サッカーを楽しむなど、スポーツを通じたつながりも大事にされています。のんびり家で過ごす時間も設け、リラックスできる日々を工夫して過ごされています。
学生時代の友人とも交流を続け、休日は野球観戦やショッピング、グルメ、バラエティ番組でリフレッシュされています。
「何十年経っても話題と笑顔が絶えない家庭を築き、相手の趣味にも挑戦したい」と語るわたなべ様。将来は相手を尊重し、支え合えるご家庭を築かれることでしょう。（454文字）</t>
  </si>
  <si>
    <t>誠実で真面目な雰囲気が印象的なやまもと様。
現在はE-バイクの販売や修理の業務に携わり、幼いころから好きだった自転車に関わる仕事に日々充実感を感じていらっしゃいます。
職場では向上心をもって資格取得にも積極的に挑戦し、誠実な人柄と学び続ける姿勢が同僚からの信頼を集めています。
趣味は神社や仏閣めぐりのほか、サイクリングや映画鑑賞、筋力トレーニングなど幅広く、ヴィンテージや古き良きものへの深い関心を持ち、温故知新を座右の銘とされています。
休日は自宅で映画を観ながら過ごす時間や筋トレでリフレッシュしつつ、街の変化や自然を感じられるサイクリングも楽しみとしています。大学時代には仏教について学び、現在も仏像や大仏への興味が尽きることはありません。
やまもと様は、「困難があった時にも助け合っていける関係を築きたい」と考え、英語を学びながらお相手と一緒に旅行も楽しみたいとお話しくださいました。（401文字）</t>
  </si>
  <si>
    <t>穏やかな笑顔と礼儀正しい受け答えが印象的ななかむら様。初対面でもハキハキと明るく接してくださり、その姿勢から自然と安心感を得られる好青年です。
現在は情報通信業において新規サービスの企画やマーケティング業務に従事し、自ら新たな課題へ積極的に挑戦されている様子がうかがえます。
職場では新たなサービスの開発事業にやりがいを感じ、成長意欲と責任感を持って日々の業務に励む姿が周囲の信頼を集めています。
プライベートでは野球や温泉地めぐり、カフェでのんびり過ごす時間や読書、演劇鑑賞など多彩な趣味をお持ちで、友人と温泉へ出かけたり、ネットフリックスでリラックスされる様子もうかがえます。
お料理も健康的なレシピにこだわり、アウトドア・インドアの活動をバランス良く取り入れ、日々を充実させている点が印象的です。
なかむら様は「共通の価値観や目標を持ち、協力し合いながら家庭に笑顔が絶えない関係を築きたい」と語り、興味を分かち合いながらコミュニケーションを大切にしたいとお話しくださいました。（446文字）</t>
  </si>
  <si>
    <t>A：誠実さや温和さは伝わるが、行動や会話の具体的な場面描写が薄い。（中谷）
B：会話の雰囲気はあるが、表情や所作などのリアリティが弱い。（中谷）
D：料理や野球観戦は具体例あり（豚キムチ炒めなど）が、趣味全体はやや羅列気味。（中谷）</t>
  </si>
  <si>
    <t>A：誠実さや温和さはわかるが、具体的な行動ややり取りの描写は少ない。（中谷）
B：「クールな印象だが和やかな一面」は良いが、その真逆なイメージを感じるエピソードがあればリアル。（中谷）
D：趣味は多彩だが、「海や山でリフレッシュ」以外は羅列的。（中谷）</t>
  </si>
  <si>
    <t>A：穏やかさと親しみやすさはあるが、実際のやりとりや行動描写は不足。（中谷）
B：「初対面でも〜」は抽象的、もう一歩リアルな会話風景が欲しい。（中谷）
D：趣味や好物は具体的だが、体験や思い出と結びつけた描写が少なめ。（中谷）</t>
  </si>
  <si>
    <t>A：真面目さや向上心はわかるが、実際の接客や学びの場面描写はない。（中谷）</t>
  </si>
  <si>
    <t>A：礼儀正しさや挑戦心は伝わるが、行動や会話シーンの具体性が不足。（中谷）
B：活動内容や休日の過ごし方は具体的だが、人物像を直接感じる描写は弱い。（中谷）
D：趣味や活動は列挙気味で、情景・ストーリーが弱い。（中谷）</t>
  </si>
  <si>
    <t>■担当者紹介文_評価シート（実験No：Tes-A）</t>
  </si>
  <si>
    <t>Rec-02</t>
  </si>
  <si>
    <t>「基本ルール」から担当者紹介文を作成してください。
生成する際は、箇条書きの文章と平文の2つを生成すること。ただし、中身は同じものとしてください。
正しさと統一感があり信頼できる文章であり、変化があり読み手のイメージを膨らませる文章であることが望ましいです。
なお、「チェック項目」にあるすべての項目をクリアした担当者紹介文を生成すること。
■基本ルール
1. 400以上460文字以下で文章を生成する。※1回の改行につき1文字としてカウントすること。
2. 名前は、ファーストネームのひらがな＋様で表記する。※カタカナ・漢字はNG
3. 紹介文の中に必ず名前を1回入れる。
4. 箇条書きと、箇条書きを平文にしたもの、2つを生成すること。
5. 箇条書きの場合、文頭は中黒「・」で統一する。
6. 平文を生成する際、以下に記載の文章構成①～⑥に沿って、テーマごとに改行すること。ただし、改行したのち、さらに1行空けることはしない。
7. 話し言葉を避ける。
8. 並列表現をしない。
9. 過剰な美化語を使用しない。
10. 文末は、「ぜひお会いになってみてください」「と、お話しくださいました」「ぜひお人柄に触れてみてください」「・・・・な、家庭を築かれるでしょう」「・・・ことでしょう」をランダムに記載する
11. 上記ルールを適用するうえで文中に表現が見つからない場合は本件事項をスキップする。なおスキップした際は一番末尾にスキップしたルール番号を出力すること。スキップ項目がない場合は、何も表記しなくてよい。
除外項目：No.1 400以上460文字以下で文章を生成する。※1回の改行につき1文字としてカウントすること。"
■文章構成
①担当者からの印象
・顔を合わせたときに向けてくださる、優しいまなざしの笑顔が印象的な●●●様。
・色白でかわいらしい顔立ちの●●●様。やわらかい目元が印象的で穏やかな雰囲気をお持ちの方です。
・特に女性の場合：・清楚で可愛らしい●●●様。温かな眼差しでお話しくださる空間が心地よく、自然とこちらまで笑顔にさせてくださる気遣いのできる女性です。
・特に男性の場合：・爽やかな笑顔が素敵な●●●様。質問に対しても丁寧にお話しくださるお姿から、誠実で温和なお人柄を感じます。
②仕事
・現在は〇〇の仕事に就かれ、日々〇〇に取り組んでいらっしゃいます。
・お仕事は子供服の接客販売をされています。""
③仕事のやりがい・職場関係
・職場では、仕事のご相談を受けることが多く、できる限り時間をつくって話に耳を傾けていらっしゃることからも、誠実なお人柄を感じました。
④趣味・休日の過ごし方
・ご趣味はアウトドアが多いそうですが、ご自宅では、料理をつくる機会が増え、色々な料理にチャレンジされていらっしゃいます。
⑤エピソード
・学生時代のご友人とは今でも親交があり、部活動で励んでいたバドミントンや避暑地でのキャンプなどを一緒に楽しまれるそうです。
⑥未来像
・ご結婚後は、「お互いの趣味を共有して、お相手と一緒に日常生活を楽しめる工夫をしていきたいです」と笑顔でお話しくださいました。"
■チェック項目
1. 400以上460文字以下で文章を生成する。※1回の改行につき1文字としてカウントすること。
2. 名前は、ファーストネームのひらがな＋様で表記する。※カタカナ・漢字はNG
3. 紹介文の中に必ず名前を1回入れる。
4. 箇条書きと、箇条書きを平文にしたもの、2つを生成すること。
5. 箇条書きの場合、文頭は中黒「・」で統一する。
6. 平文を生成する際、以下に記載の文章構成①～⑥に沿って、テーマごとに改行すること。ただし、改行したのち、さらに1行空けることはしない。
7. 話し言葉を避ける。
8. 並列表現をしない。
9. 過剰な美化語を使用しない。
10. 文末は、「ぜひお会いになってみてください」「と、お話しくださいました」「ぜひお人柄に触れてみてください」「・・・・な、家庭を築かれるでしょう」「・・・ことでしょう」をランダムに記載する
11. 上記ルールを適用するうえで文中に表現が見つからない場合は本件事項をスキップする。なおスキップした際は一番末尾にスキップしたルール番号を出力すること。スキップ項目がない場合は、何も表記しなくてよい。
除外項目：No.1 400以上460文字以下で文章を生成する。※1回の改行につき1文字としてカウントすること。</t>
  </si>
  <si>
    <t>・清楚で可愛らしいさとう様。温かな眼差しでお話しくださる空間が心地よく、自然とこちらまで笑顔にさせてくださる気遣いのできる女性です。
・現在は検品のお仕事をされ、日々丁寧な作業に取り組まれていらっしゃいます。
・職場でもまわりの方との関係を大切にされており、穏やかな人柄が評価されています。
・ご趣味は音楽鑑賞やアニメのほか、イラストやアクセサリー制作にも取り組まれ、休日は双子のご姉妹とカラオケに行くことも楽しまれています。
・学生時代からのご友人とは交流が続き、気の合う方々との時間も大切にされています。
・ご結婚後は、「お互いが気を張らず素直に『ありがとう』『ごめんなさい』と伝えあえる温かな家庭を築きたい」と、お話しくださいました。（320文字）</t>
  </si>
  <si>
    <t>・清楚で可愛らしいたなか様。自然体で気さくな雰囲気が印象的で、親しみやすいお人柄を感じました。
・現在は不動産業界で営業事務を担当され、スムーズな業務進行のために積極的に関わる姿勢が目を惹きます。
・職場では相談を受けることもあり、時間を割いて話に応じる誠実さが伝わってきます。
・趣味は国内旅行や演劇鑑賞、食べ歩きなど多彩で、特に親族とのディズニーツアーやお料理教室での思い出を大切にされています。
・学生時代の友人とは今も親交があり、旅先での美味しい料理や楽しい体験を共有することを喜びとされています。
・「お互いを尊重し合い、笑顔あふれる温かな家庭を築きたい」と語られており、家庭的で思いやりのある方とお話しくださいました。（315文字）</t>
  </si>
  <si>
    <t>・癒される愛らしい笑顔が印象的なやまだ様。穏やかな表情から誠実さが感じられる女性です。
・現在は情報通信業でSEとして専門職に就かれ、日々技術の習得や知識の向上に励んでいらっしゃいます。
・職場では常に真面目に取り組む姿勢が評価されており、ご相談にも時間を惜しまず応じる誠実なお人柄です。
・ご趣味は水族館めぐりやアニメーション鑑賞、カラオケ、テレビゲームと多岐にわたり、インドアで過ごす時間を大切にされています。
・学生時代からの友人と交流を続け、謎解きや脱出ゲームにも積極的に参加されるなど、好奇心と探究心を大切にされています。
・「帰宅して安心できる家庭を築き、お互い支え合える夫婦でありたい」と将来像を語るやまだ様。ぜひお人柄に触れてみてください。（328文字）</t>
  </si>
  <si>
    <t>・清楚で可愛らしいすずき様。初対面から素直なお人柄が伝わり、親しみやすく、話しやすい雰囲気をお持ちの女性です。
・現在は士業関連の事務職をされており、顧問先への訪問や社内事務にも携わりながら、日々業務に真摯に取り組んでおられます。
・職場では、先輩のサポートや後輩のフォローなど人のために尽力され、その姿勢からも気遣いのある誠実な性格が感じられました。
・ミュージカルやライブ鑑賞をはじめ、水族館や温泉めぐり、カフェでのくつろぎ時間を大切にされ、ご自身の趣味を存分に楽しまれています。
・学生時代のご友人とランチを楽しむエピソードや、YouTubeやライブでリフレッシュされる姿には、オンとオフを上手に切り替え、自分らしい時間を築く柔軟さが表れています。
・ご結婚後は「年齢を重ねてもお互いを尊重し合い、ささいな話題も一緒に楽しめる、穏やかな毎日を大切にしたい」とお話しくださいました。（393文字）</t>
  </si>
  <si>
    <t>・清楚で可愛らしいたかはし様。朗らかで親しみやすい雰囲気をまとわれ、初対面でも穏やかな空気を感じさせてくださいます。
・現在は医療・福祉業界の専門職として、リハビリテーションに携わり、特に言語のリハビリにやりがいを見出して日々努力を重ねていらっしゃいます。
・職場では、相談や質問に誠実に対応し、同僚から頼りにされる存在です。相手の気持ちに寄り添う姿勢が印象的でした。
・ご趣味は国内旅行やカフェでの読書、映画鑑賞、温泉地めぐりなど、多彩な過ごし方を楽しんでいらっしゃいます。自然の中でゆったりとした時間を過ごすのもお好きです。
・学生時代からのご友人との食事や旅行を大事にされ、リラックスできる時間を持ちながら新しい場所や味に触れることも楽しみにされています。
・ご結婚後は「お互いを支えながら笑顔を大切に、前向きな家族を築きたい」と語っておられました。ぜひお人柄に触れてみてください。（394文字）</t>
  </si>
  <si>
    <t>清楚で可愛らしいさとう様。温かな眼差しでお話しくださる空間が心地よく、自然とこちらまで笑顔にさせてくださる気遣いのできる女性です。
現在は検品のお仕事をされ、日々丁寧な作業に取り組まれていらっしゃいます。
職場でもまわりの方との関係を大切にされており、穏やかな人柄が評価されています。
ご趣味は音楽鑑賞やアニメのほか、イラストやアクセサリー制作にも取り組まれ、休日は双子のご姉妹とカラオケに行くことも楽しまれています。
学生時代からのご友人とは交流が続き、気の合う方々との時間も大切にされています。
ご結婚後は、「お互いが気を張らず素直に『ありがとう』『ごめんなさい』と伝えあえる温かな家庭を築きたい」と、お話しくださいました。（319文字）</t>
  </si>
  <si>
    <t>清楚で可愛らしいたなか様。自然体で気さくな雰囲気が印象的で、親しみやすいお人柄を感じました。
現在は不動産業界で営業事務を担当され、スムーズな業務進行のために積極的に関わる姿勢が目を惹きます。
職場では相談を受けることもあり、時間を割いて話に応じる誠実さが伝わってきます。
趣味は国内旅行や演劇鑑賞、食べ歩きなど多彩で、特に親族とのディズニーツアーやお料理教室での思い出を大切にされています。
学生時代の友人とは今も親交があり、旅先での美味しい料理や楽しい体験を共有することを喜びとされています。
「お互いを尊重し合い、笑顔あふれる温かな家庭を築きたい」と語られており、家庭的で思いやりのある方とお話しくださいました。（314文字）</t>
  </si>
  <si>
    <t>癒される愛らしい笑顔が印象的なやまだ様。穏やかな表情からは誠実さが感じられ、しっかりとした信頼感を持たせてくれる女性です。
現在は情報通信業でSEとして専門性の高い仕事に従事し、技術の習得や知識の向上に日々励まれています。
職場では常に真面目に物事へ取り組み、周囲からの相談にも時間を惜しまず応じている姿には、誠意と責任感がうかがえます。
趣味は水族館めぐりやアニメーション、カラオケ、テレビゲームなど幅広く、インドアでの時間を大切にしながら暮らしていらっしゃいます。
学生時代のご友人との縁も大切にされており、特に謎解きや脱出ゲームといった知的好奇心を刺激する活動にも積極的なご様子が印象的でした。
「帰宅して安心できる家庭を築き、お互いに支え合える夫婦でありたい」と将来の展望を語るやまだ様。ぜひお人柄に触れてみてください。（369文字）</t>
  </si>
  <si>
    <t>清楚で可愛らしいすずき様。初対面から素直なお人柄が伝わり、親しみやすく、話しやすい雰囲気をお持ちの女性です。
現在は士業関連の事務職をされており、顧問先への訪問や社内事務にも携わりながら、日々業務に真摯に取り組んでおられます。
職場では、先輩のサポートや後輩のフォローなど人のために尽力され、その姿勢からも気遣いのある誠実な性格が感じられました。
ミュージカルやライブ鑑賞をはじめ、水族館や温泉めぐり、カフェでのくつろぎ時間を大切にされ、ご自身の趣味を存分に楽しまれています。
学生時代のご友人とランチを楽しむエピソードや、YouTubeやライブでリフレッシュされる姿には、オンとオフを上手に切り替え、自分らしい時間を築く柔軟さが表れています。
ご結婚後は「年齢を重ねてもお互いを尊重し合い、ささいな話題も一緒に楽しめる、穏やかな毎日を大切にしたい」とお話しくださいました。（392文字）</t>
  </si>
  <si>
    <t>清楚で可愛らしいたかはし様は、朗らかで親しみやすい雰囲気をまとわれており、初対面の際も穏やかな空気が印象に残りました。
現在は医療・福祉業界の専門職としてリハビリテーションのお仕事に従事され、とりわけ言語リハビリの現場で日々やりがいと向き合っていらっしゃいます。
職場では、同僚からの相談や質問にも誠実に対応し、頼りにされる存在でいらっしゃることから、相手の気持ちに寄り添う細やかな心遣いが感じられました。
ご趣味は国内旅行、カフェでの読書、映画鑑賞や温泉地めぐりで、特に自然の中でゆったりと過ごす時間に安らぎを感じていらっしゃいます。
学生時代から親交のあるご友人との食事や旅行など、リラックスできる時間を大切にされ、新しい場所や味への出会いを楽しんでいるそうです。
ご結婚後は「お互いを支えながら笑顔を大切に、前向きな家族を築きたい」と、穏やかな笑顔でお話しくださいました。（394文字）</t>
  </si>
  <si>
    <t>6. 平文を生成する際、以下に記載の文章構成①～⑥に沿って、テーマごとに改行すること。ただし、改行したのち、さらに1行空けることはしない。</t>
  </si>
  <si>
    <t>1.400字以上になっていません。※以降、同様のコメントのため省略（青山）
6.テーマごとに改行されるが、さらにもう1行改行されてしまいます。※以降、同様のコメントのため省略（青山）
11.6番でチェック項目を満たさないものが出ているにも関わらず、チェックに引っかかりませんでした。※以降、同様のコメントのため省略（青山）
B.仕草までは拾いきれていないと感じました。特に、平文だと淡々さがでてしまい、人となりより事実の列挙に感じてしまいます。※以降、同様のコメントのため省略（青山）</t>
  </si>
  <si>
    <t>・爽やかな笑顔が素敵なこばやし様。一人ひとりに誠実に向き合い、丁寧な会話が印象に残る男性です。
・現在は整体院を経営し、日々患者様と向き合いながら、健康のサポートに尽力されています。
・お仕事については、「一人一人の体に向き合うことが天職」と語られる姿からも、真摯さを感じます。
・ご趣味は野球観戦やジョギング、ミュージカル鑑賞、そして料理にも力を入れており、特に豚キムチ炒めの作り置きが得意だそうです。
・休日にはスタジアムでの野球観戦や国内旅行も楽しまれているほか、家事や料理の時間も大切にされています。
・これからは全国のさまざまな場所を巡ってお相手と沢山の思い出を作りたいと考えていらっしゃいます。
・結婚後は、お互いの両親や祖父母を大切にしながら、毎日の食卓を囲み会話を楽しむ家庭を築かれることでしょう。（357文字）</t>
  </si>
  <si>
    <t>・爽やかな笑顔が素敵ないとう様。クールな印象を持ちながらも、打ち解けると和やかな雰囲気が広がります。
・お仕事は通信ネットワーク施設の保守・運用に携わり、日々コツコツと真面目に取り組まれている姿から、誠実さと仕事熱心なお人柄が伝わってきます。
・職場では、周囲からの相談に丁寧に耳を傾ける姿勢が印象的で、信頼を集めていらっしゃいます。
・ご趣味はサイクリングやスイミング、温泉地めぐりなど多岐にわたりますが、特にロードバイクで自然の多い場所を訪れ、心身のリフレッシュと健康維持を大切にされています。
・学生時代のご友人とも親しく、休日には一緒にサイクリングやドライブを楽しむこともあるとのこと。
・結婚後は「お互いの趣味を共有しながら、穏やかで信頼し合える家庭を築きたい」とお話しくださいました。（348文字）</t>
  </si>
  <si>
    <t>・爽やかな笑顔が印象的なわたなべ様。物腰が柔らかく、誠実で素直な人柄が強く伝わってきます。
・現在は事務職に従事され、国民健康保険の資格確認など多岐にわたる業務に取り組んでいらっしゃいます。
・職場では、状況に応じて必要とされる人材になることを目指し、スキルアップや資格取得にも積極的です。その姿勢から、周囲の信頼を集めておられます。
・休日はサッカーを実際にプレーするだけでなく、観戦も楽しまれています。推しのチームのホームゲーム全試合に足を運ぶなど、こだわりをもって取り組む一面も魅力的です。
・学生時代の友人とも親しく、休日は野球観戦や国内旅行を楽しまれ、ご自宅では新しいレシピにも挑戦されています。
・将来は、何十年経っても語らいと笑顔が絶えない家庭を築き、「お互いの趣味にチャレンジしながら毎日を楽しみたい」とお話しくださいました。（371文字）</t>
  </si>
  <si>
    <t>・爽やかな笑顔が素敵なやまもと様。初対面から誠実さと真面目なお人柄が印象に残りました。
・現在はE-バイクの販売や修理を専門職として担当され、幼いころから惹かれていた自転車の世界で日々やりがいを感じていらっしゃいます。
・職場では仕事への向き合い方が信頼され、周囲からも相談を受けることが多いようで、丁寧に耳を傾ける誠実な一面がうかがえました。
・ご趣味は神社仏閣めぐりやサイクリングなどで、街の変化や自然を楽しみながら、映画鑑賞や筋力トレーニングにも励まれています。
・大学では仏教を学ばれ、今でも仏像や大仏への愛着が深く、古き良きものへのこだわりも魅力の一つです。
・結婚後は「困難があった時には助け合える関係でいたい」と考えておられます。ぜひお人柄に触れてみてください。（338文字）</t>
  </si>
  <si>
    <t>・穏やかな笑顔が印象的な、なかむら様。ハキハキとした口調や礼儀正しい姿から、誠実さと温和なお人柄を感じました。
・現在は情報通信業の専門職として、新規サービスの企画やマーケティングに注力されていらっしゃいます。
・職場では相談を受けることが多く、相手の話にしっかり耳を傾けるなかむら様の姿勢から、周囲からの信頼の厚さがうかがわれました。
・ご趣味は野球や温泉地めぐり、カフェでゆったり過ごすこと、読書、演劇鑑賞と幅広く、アウトドアもインドアも楽しまれています。自宅では健康を意識した料理にも取り組まれているそうです。
・学生時代のご友人とは今も交流があり、草野球や温泉旅行を一緒に楽しみながら、友情を深め続けていらっしゃいます。
・「家庭内で笑顔が絶えないよう、積極的にコミュニケーションを取り、お互いの興味や趣味を共有したいです」と、なかむら様は語ってくださいました。ぜひお会いになってみてください。（401文字）</t>
  </si>
  <si>
    <t>爽やかな笑顔が印象的なこばやし様。一人ひとりに対して誠実で、丁寧な会話を大切にされている姿から、温かな人柄が伝わります。
現在は整体院を経営されており、毎日多くの患者様と向き合いながら、健康に寄り添うことにやりがいを感じていらっしゃいます。
お仕事について、「一人一人の体に丁寧に向き合うことが天職」と話す姿がとても印象的でした。
ご趣味は野球観戦やジョギング、ミュージカル鑑賞など多彩ですが、特に豚キムチ炒めの作り置き料理にはこだわりが感じられ、ご家庭でも家事や料理を積極的に楽しんでおられるそうです。
休日にはスタジアムで野球を観戦したり、国内旅行に出かけて新しい場所や体験に触れることも大切にされています。
今後はお相手と全国各地を巡りながら、たくさんの思い出を共にしたいと考えていらっしゃいます。
結婚後は、お互いの両親や祖父母を大切にし、毎日の食卓を囲みながら会話を楽しむ温かな家庭を築かれることでしょう。（408文字）</t>
  </si>
  <si>
    <t>爽やかな笑顔が印象的ないとう様は、クールな第一印象の中にも打ち解けると和やかな雰囲気を感じさせるお人柄です。
現在は通信ネットワーク施設の保守・運用を担当されており、日々コツコツと真面目に業務へ取り組まれているその誠実さが際立っています。
職場では周囲の方々から相談を受けることも多く、一つひとつに丁寧に対応されていることから、厚い信頼を集めていらっしゃいます。
趣味はサイクリングやスイミング、温泉地巡りなど幅広く、なかでもロードバイクで自然豊かな場所を訪れ、リフレッシュと健康維持に努めている姿が印象的です。
学生時代のご友人とも今なお交流があり、休日にはサイクリングやドライブを一緒に楽しむこともあるそうです。
「お互いの趣味を共有しながら、穏やかで信頼し合える家庭を築きたい」とお話しくださいました。（354文字）</t>
  </si>
  <si>
    <t>爽やかな笑顔が印象的なわたなべ様。物腰が柔らかく、誠実で素直な人柄が強く伝わってきます。
現在は事務職に従事され、国民健康保険の資格確認など多岐にわたる業務に取り組んでいらっしゃいます。
職場では、状況に応じて必要とされる人材になることを目指し、スキルアップや資格取得にも積極的です。その姿勢から、周囲の信頼を集めておられます。
休日はサッカーを実際にプレーするだけでなく、観戦も楽しまれています。推しのチームのホームゲーム全試合に足を運ぶなど、こだわりをもって取り組む一面も魅力的です。
学生時代の友人とも親しく、休日は野球観戦や国内旅行を楽しまれ、ご自宅では新しいレシピにも挑戦されています。
将来は、何十年経っても語らいと笑顔が絶えない家庭を築き、「お互いの趣味にチャレンジしながら毎日を楽しみたい」とお話しくださいました。（370文字）</t>
  </si>
  <si>
    <t>爽やかな笑顔が印象的なやまもと様は、初対面から誠実さと真面目なお人柄が際立っていました。
現在は専門職としてE-バイクの販売や修理に携わり、幼いころから抱いてきた自転車への情熱を仕事に活かしていらっしゃいます。
職場ではその姿勢が信頼につながり、同僚から仕事の相談を受けることも多く、丁寧に耳を傾ける誠実な面がうかがえます。
休日は神社仏閣めぐりやサイクリングで街や自然の変化を楽しみ、映画鑑賞や筋力トレーニングにも力を入れて過ごされています。
大学で仏教を学ばれた経験から、今でも仏像や大仏に深い愛着を寄せており、古き良きものへのこだわりが特に魅力的です。
ご結婚後は「困難があった時には助け合える関係でいたい」と語られました。ぜひお人柄に触れてみてください。（336文字）</t>
  </si>
  <si>
    <t>穏やかな笑顔が印象的な、なかむら様。ハキハキとした口調と礼儀正しい立ち居振る舞いからは、誠実さと温和な人柄が伝わってきます。
現在は情報通信業にて専門職として活躍され、新規サービスの企画やマーケティングに力を注ぐ日々を過ごされています。
職場では同僚から仕事の相談を受けることが多く、しっかりと時間を作り、相手の話に耳を傾けているその姿勢から、周囲の信頼を集めている様子がうかがえました。
休日は野球や温泉地めぐり、カフェでゆっくり過ごすこと、読書や演劇鑑賞など多様な趣味を楽しまれています。ご自宅では健康に配慮したレシピにも挑戦されています。
学生時代からのご友人とは現在も親交が深く、草野球や温泉旅行を共にして絆を大切にされています。
家庭では「日々のコミュニケーションを大切にし、それぞれの趣味を分かち合いながら、温かい笑顔の絶えない雰囲気を築いていきたい」と、なかむら様は語ってくださいました。ぜひお会いになってみてください。（422文字）</t>
  </si>
  <si>
    <t>■実験データ（新）</t>
  </si>
  <si>
    <t>・検証用に利用するサンプルデータです。</t>
  </si>
  <si>
    <t>●女性サンプル（5名）</t>
  </si>
  <si>
    <t>No.</t>
  </si>
  <si>
    <t>実験用データ</t>
  </si>
  <si>
    <t>■会員プロフィール
会員番号	X018726911
性別	女性
年齢	40歳
結婚歴	未婚
子供有無	なし
身長	170cm
業種	サービス業
職業	サービス職
仕事内容	サービス業
休日	日／祝祭／不定期
学歴	大学卒業
趣味	スポーツジム ／ その他食べ歩き ／ 国内旅行 ／ DVD鑑賞 ／ 音楽鑑賞
趣味についてのこだわり	事前にガイドブックなどを見て色々調べて、当日はフリープランで行動することが好きです。
これからやってみたいこと	旅行が好きで、国内外問わず訪れてみたい所へ訪れてみたいです。
私の好きなコト、モノ	音楽鑑賞が好きです。邦楽や洋楽などをよく聴いてます。音楽を聴くことで「明日も頑張っていこう」とチカラをもらっています。
理想の結婚、夫婦、家族像	苦楽を共にする中で助け合いながら生きていける。いつまでもお互いを尊重し合える。共通の夢を1つ持つことで共に努力する。
■追加質問
【会員様のファーストネーム（ひらがな）】	さとう
【会員様と初めて話した時に直観的に感じた印象や雰囲気は？】	明るい、快活
【仕事で「好きだ」「やりがいを感じる」と話していたこと、または「担当者からの印象」は？】	レストランの現場運営、仕事の流れがわかり前向きに
【趣味や休日の過ごし方の中で、どんな時に楽しそうに話していましたか？】	平日は友人と食事・事務、休日は家でゆっくり
【会員様との会話で感じた、優しさ・思いやり・その他の印象に残ったポイントは？】	高校の時に1年間ニュージーランド留学
【結婚後の夢・続けたいこと・一緒にやりたいことなど】	気持ちをオープンに、共に助け合って行ける
【会員様が結婚生活で大事にしたいことは？】	お互いの時間も大切に
【担当者目線での会員様の魅力は？】	優しくて温厚</t>
  </si>
  <si>
    <t>■会員プロフィール
会員番号	X012800590
性別	女性
年齢	46歳
結婚歴	未婚
子供有無	なし
身長	162cm
業種	医療・福祉業
職業	専門職
仕事内容	看護業務
休日	不定期
学歴	短大卒業
趣味	ピアノ ／ お菓子作り ／ ウクレレ ／ 水族館めぐり ／ 食べ歩き
趣味についてのこだわり	楽器はクラシックだけでなく、ゲーム音楽やネタ曲も演奏して楽しんでいます。 お菓子は、プレゼントして喜ばれると嬉しいです
これからやってみたいこと	クラゲが好きなので、いろいろな水族館を巡りたいです
私の好きなコト、モノ	楽しいこと、笑えることが好きです！ ゲームや漫画も楽しんでいます 昔からサンリオが好きで、今も小物を使うことがあります
理想の結婚、夫婦、家族像	お互いの好きな物や楽しかったことを共有できる関係が理想です。イベントではなく、日常生活を楽しめるといいなと思います
■追加質問
【会員様のファーストネーム（ひらがな）】	たなか
【会員様と初めて話した時に直観的に感じた印象や雰囲気は？】	優しく温かい雰囲気
【仕事で「好きだ」「やりがいを感じる」と話していたこと、または「担当者からの印象」は？】	入院されていた子供達から「楽しかった」と手紙を貰うこと、元気に退院出来た時
【趣味や休日の過ごし方の中で、どんな時に楽しそうに話していましたか？】	お菓子作り、ピアノ
【会員様との会話で感じた、優しさ・思いやり・その他の印象に残ったポイントは？】	仕事が忙しい中でもわかりやすく説明することを心がけている
【結婚後の夢・続けたいこと・一緒にやりたいことなど】	
【会員様が結婚生活で大事にしたいことは？】	好きなものや楽しかったことを共有したい
【担当者目線での会員様の魅力は？】	話しやすく、居心地がいい、ユーモアがある</t>
  </si>
  <si>
    <t>■会員プロフィール
会員番号	X013219274
性別	女性
年齢	50歳
結婚歴	未婚
子供有無	なし
身長	163cm
業種	その他金融業
職業	サービス職
仕事内容	事務
休日	土／日／祝祭
学歴	大学卒業
趣味	食べ歩き ／ スイーツ食べ歩き ／ 温泉地めぐり ／ 神社・仏閣めぐり ／ 海外旅行
趣味についてのこだわり	美味しいご飯とお酒を楽しみながらリラックスした雰囲気の中で楽しく過ごす時間を大切にしてます。
これからやってみたいこと	旅行先で素敵な宿に泊まったり、一緒に料理もしてみたいです。
私の好きなコト、モノ	美味しいお店探し/温泉でのんびり/野球・サッカー観戦/ライブ・コンサート/お笑い/犬猫と遊ぶ/力を合わせてやり遂げる事
理想の結婚、夫婦、家族像	ありがとうやごめんねを素直に伝えられ、一緒にいて楽しさと安らぎを感じられるような関係を築いていきたいと思っています。
■追加質問
【会員様のファーストネーム（ひらがな）】	やまだ
【会員様と初めて話した時に直観的に感じた印象や雰囲気は？】	凛とした美しさ、終始笑顔
【仕事で「好きだ」「やりがいを感じる」と話していたこと、または「担当者からの印象」は？】	職場の人間関係に恵まれている、ストレスフリー、仕事を続けたい
【趣味や休日の過ごし方の中で、どんな時に楽しそうに話していましたか？】	アクティブ、様々なコミュニティ
【会員様との会話で感じた、優しさ・思いやり・その他の印象に残ったポイントは？】	心身共に健康を大切にしている
【結婚後の夢・続けたいこと・一緒にやりたいことなど】	美味しい食事や旅行に行きたい
【会員様が結婚生活で大事にしたいことは？】	何でも気兼ねなく話せる
【担当者目線での会員様の魅力は？】	楽観的、好奇心旺盛、穏やか、芯の強さ</t>
  </si>
  <si>
    <t>■会員プロフィール
会員番号	X013044256
性別	女性
年齢	52歳
結婚歴	離婚
子供有無	あり(別居／親権なし／養育費なし)
身長	158cm
業種	情報通信業
職業	事務職
仕事内容	OA事務
休日	土／日／祝祭
学歴	短大卒業
趣味	食べ歩き ／ 温泉地めぐり ／ ハイキング・トレッキング ／ 散歩 ／ その他旅行・遊ぶ
趣味についてのこだわり	美味しいお料理やスイーツに目がないです。綺麗な景色や温泉も好きですが、体を動かすのも好きです。家では漢字パズルをします。
これからやってみたいこと	色々な場所へ行って、食べ歩き･温泉･景色を楽しみたいです。
私の好きなコト、モノ	美味しいお料理やスイーツを食べる事が大好きです。綺麗な景色を見ながら温泉に浸る時間も好きです。家事全般楽しんでやります。
理想の結婚、夫婦、家族像	お互いを大切にして思いやり、寄り添う事ができる夫婦が理想です。明るく穏やかながらも共に人生を楽しめたら最高です。
■追加質問
【会員様のファーストネーム（ひらがな）】	すずき
【会員様と初めて話した時に直観的に感じた印象や雰囲気は？】	明るい笑顔、優しい雰囲気
【仕事で「好きだ」「やりがいを感じる」と話していたこと、または「担当者からの印象」は？】	人との関わりを楽しむ、コミュニケーションが円滑になるように気遣う
【趣味や休日の過ごし方の中で、どんな時に楽しそうに話していましたか？】	自宅でのんびり、散歩・ハイキングでリフレッシュ
【会員様との会話で感じた、優しさ・思いやり・その他の印象に残ったポイントは？】	笑顔を絶やすことが無い
【結婚後の夢・続けたいこと・一緒にやりたいことなど】	旅行、美味しいものを一緒に
【会員様が結婚生活で大事にしたいことは？】	お互いを大切にして思いやる
【担当者目線での会員様の魅力は？】	親しみやすく、気さくな人柄</t>
  </si>
  <si>
    <t>■会員プロフィール
会員番号	X016117428
性別	女性
年齢	56歳
結婚歴	未婚
子供有無	なし
身長	163cm
業種	保険業
職業	管理職
仕事内容	管理職
休日	土／日／祝祭
学歴	大学卒業
趣味	犬飼育 ／ 海外旅行 ／ その他食べ歩き ／ ライブ・コンサート鑑賞 ／ スポーツジム
趣味についてのこだわり	海外旅行は毎年1,2回行きます。現地の人と触れ合ったり、生活を体験出来るような旅行が好きです。
これからやってみたいこと	海の近くに小さなセカンドハウスを購入して過ごしたいです。
私の好きなコト、モノ	愛犬と癒しの時間を過ごしたり、友人と美味しいお料理を食べに行くのが好きです。
理想の結婚、夫婦、家族像	お互いの価値観や考え方の違いを尊重しながら二人らしい関係を築いて行きたいです。
■追加質問
【会員様のファーストネーム（ひらがな）】	たかはし
【会員様と初めて話した時に直観的に感じた印象や雰囲気は？】	凛としている、聡明、にこやか
【仕事で「好きだ」「やりがいを感じる」と話していたこと、または「担当者からの印象」は？】	責任も重いがそれ以上にやりがいがある
【趣味や休日の過ごし方の中で、どんな時に楽しそうに話していましたか？】	愛犬と散歩、友人、ジム、オンオフ
【会員様との会話で感じた、優しさ・思いやり・その他の印象に残ったポイントは？】	幼少期インターナショナルスクール、社会人海外転勤
【結婚後の夢・続けたいこと・一緒にやりたいことなど】	楽しいときも辛いときも一緒に笑う
【会員様が結婚生活で大事にしたいことは？】	お互いの価値観を尊重
【担当者目線での会員様の魅力は？】	柔軟で好奇心旺盛</t>
  </si>
  <si>
    <t>●男性サンプル（5名）</t>
  </si>
  <si>
    <t xml:space="preserve">■会員プロフィール
会員番号	Y011394079
性別	男性
年齢	45歳
結婚歴	未婚
子供有無	なし
身長	167cm
業種	銀行業
職業	営業・販売職
仕事内容	保険の営業
休日	土／日／祝祭
学歴	専門学校・各種学校卒業
趣味	スポーツジム ／ 食べ歩き ／ 家事 ／ 映画鑑賞 ／ 国内旅行
趣味についてのこだわり	街の中を散策しながら、良さそうなお店を見つけた時はとても嬉しいです。
これからやってみたいこと	神社仏閣、お城巡りなど歴史を感じるものに触れてみたいです。
私の好きなコト、モノ	ラーメン。本やYouTubeで学んだりラジオを聞くこと。散歩。部屋の整理整頓。習慣化を目標に色々と取り組んでます。
理想の結婚、夫婦、家族像	お互いの考えや価値観を共有し、家事分担や子育てなど助け合いながら成長していける、居心地の良いと思える家庭を築きたいです
■追加質問
【会員様のファーストネーム（ひらがな）】	こばやし
【会員様と初めて話した時に直観的に感じた印象や雰囲気は？】	朗らかな笑顔、柔らかい物腰
【仕事で「好きだ」「やりがいを感じる」と話していたこと、または「担当者からの印象」は？】	お客様から色々なお話を聴けることが楽しい、刺激になる、真摯
【趣味や休日の過ごし方の中で、どんな時に楽しそうに話していましたか？】	映画館、ジム、リフレッシュ
【会員様との会話で感じた、優しさ・思いやり・その他の印象に残ったポイントは？】	一人暮らし歴長い、料理・掃除、家事は好き
【結婚後の夢・続けたいこと・一緒にやりたいことなど】	嬉しいことや楽しいこと、お互いに正直な気持ちを伝える
【会員様が結婚生活で大事にしたいことは？】	日々の会話を大切に
【担当者目線での会員様の魅力は？】	温かみがある人柄
</t>
  </si>
  <si>
    <t xml:space="preserve">■会員プロフィール
会員番号	Y016749718
性別	男性
年齢	52歳
結婚歴	未婚
子供有無	なし
身長	159cm
業種	食料品
職業	営業・販売職
仕事内容	営業職
休日	土／日／祝祭
学歴	高校卒業
趣味	国内旅行 ／ ドライブ ／ 食べ歩き ／ カフェで過ごす ／ テーマパークめぐり
趣味についてのこだわり	テレビや雑誌で見て美味しそうなお店があれば、時間を見つけて食べに行ったりします。最近はいけてないですが、ゴルフ好きです。
これからやってみたいこと	お相手と買い物やテーマパークなど一緒に行きたいです。
私の好きなコト、モノ	ドライブがてら温泉に行きます。日頃から運転しているので、安心して助手席に座ってください。 味噌ラーメン BBQ 筋トレ
理想の結婚、夫婦、家族像	一度きりしかない残りの人生を支え合いながら、寄り添って明るく楽しい家庭を作っていきたいと思っています。
■追加質問
【会員様のファーストネーム（ひらがな）】	いとう
【会員様と初めて話した時に直観的に感じた印象や雰囲気は？】	優しくて丁寧に話す
【仕事で「好きだ」「やりがいを感じる」と話していたこと、または「担当者からの印象」は？】	自身を持って良い商品を提供、お客様に喜んでもらえる
【趣味や休日の過ごし方の中で、どんな時に楽しそうに話していましたか？】	
【会員様との会話で感じた、優しさ・思いやり・その他の印象に残ったポイントは？】	同僚とはホームパーティーやバーベキュー
【結婚後の夢・続けたいこと・一緒にやりたいことなど】	安らげ家庭を作る
【会員様が結婚生活で大事にしたいことは？】	支えあい、寄り添い
【担当者目線での会員様の魅力は？】	素直で真面目、照れ笑いに温かい人柄を感じる
</t>
  </si>
  <si>
    <t>■会員プロフィール
会員番号	Y011079000
性別	男性
年齢	57歳
結婚歴	離婚
子供有無	あり(別居／親権なし／養育費あり)
身長	165cm
業種	医療・福祉業
職業	管理職
仕事内容	エコー業務、他
休日	土／日／祝祭
学歴	専門学校・各種学校卒業
趣味	ドライブ ／ 映画鑑賞 ／ 居酒屋めぐり ／ ショッピング ／ 音楽鑑賞
趣味についてのこだわり	近くの日帰り温泉も好きですが、グランピングやコテージも楽しいと思います。家で古い新しいに関わらず映画を観るのも好きです。
これからやってみたいこと	色々な場所に旅行に行き食べ飲み歩きができればと考えています。
私の好きなコト、モノ	音楽を聴きながらドライブをしたり、服や雑貨などを見て回るのも好きです。神社や仏閣なども好きでご朱印状も集めています。
理想の結婚、夫婦、家族像	楽しい時間は楽しさを共有でき、苦しい時は助け合える関係が理想です。お互いの親族と仲良くできればと思っています。
■追加質問
【会員様のファーストネーム（ひらがな）】	わたなべ
【会員様と初めて話した時に直観的に感じた印象や雰囲気は？】	穏やかな笑顔、柔らかい雰囲気
【仕事で「好きだ」「やりがいを感じる」と話していたこと、または「担当者からの印象」は？】	患者さんに「先生に見つけてもらえてよかった」と言われる
【趣味や休日の過ごし方の中で、どんな時に楽しそうに話していましたか？】	家事、映画、リフレッシュ
【会員様との会話で感じた、優しさ・思いやり・その他の印象に残ったポイントは？】	美味しいお料理とのペアリング
【結婚後の夢・続けたいこと・一緒にやりたいことなど】	お相手が行きたいところにたくさん連れてってあげたい
【会員様が結婚生活で大事にしたいことは？】	今という時間を大切に
【担当者目線での会員様の魅力は？】	思慮深く聡明、親しみやす</t>
  </si>
  <si>
    <t>■会員プロフィール
会員番号	Y010426212
性別	男性
年齢	54歳
結婚歴	離婚
子供有無	あり(別居／親権なし／養育費あり)
身長	165cm
業種	電気機器
職業	専門職
仕事内容	エンジニア
休日	土／日／祝祭
学歴	大学卒業
趣味	居酒屋めぐり ／ ドライブ ／ 映画鑑賞 ／ 国内旅行 ／ 海外旅行
趣味についてのこだわり	居酒屋で一緒に楽しく飲む雰囲気が好きです。最近海外旅行にもはまっており、お酒や旅行に一緒に行ければ嬉しいです。
これからやってみたいこと	一緒に食事したり、出かけたり、色々な事を共有したいです。
私の好きなコト、モノ	好きな人と一緒に話したり、食事したり、ドライブしたり、旅行したり、色々な時間や経験を共有することが好きです。
理想の結婚、夫婦、家族像	お互い話したり、食事したり、出かけたり、苦労したりしつつ、一緒にいられる普通の日常が一番の幸せと思える夫婦が理想です。
■追加質問
【会員様のファーストネーム（ひらがな）】	やまもと
【会員様と初めて話した時に直観的に感じた印象や雰囲気は？】	親しみやすい笑顔、心地よい会話
【仕事で「好きだ」「やりがいを感じる」と話していたこと、または「担当者からの印象」は？】	多くの部下、頼りがい
【趣味や休日の過ごし方の中で、どんな時に楽しそうに話していましたか？】	お買い物がてらドライブ、映画鑑賞
【会員様との会話で感じた、優しさ・思いやり・その他の印象に残ったポイントは？】	「鬼滅の刃」映画館で号泣して、他の方に気づかれない様に、走って帰った
【結婚後の夢・続けたいこと・一緒にやりたいことなど】	沢山のことを共有したい
【会員様が結婚生活で大事にしたいことは？】	共に過ごす何気ない毎日
【担当者目線での会員様の魅力は？】	感性豊か、居心地がいい</t>
  </si>
  <si>
    <t>■会員プロフィール
会員番号	Y019460506
性別	男性
年齢	53歳
結婚歴	離婚
子供有無	あり(別居／親権なし／養育費なし)
身長	173cm
業種	輸送用機器
職業	専門職
仕事内容	自動車のエンジン制御開発
休日	土／日
学歴	大学卒業
趣味	神社・仏閣めぐり ／ ドライブ ／ 国内旅行 ／ その他収集・コレクション・製作 ／ その他生活・資格系
趣味についてのこだわり	居酒屋で一緒に楽しく飲む雰囲気が好きです。最近海外旅行にもはまっており、お酒や旅行に一緒に行ければ嬉しいです。
これからやってみたいこと	一緒に食事したり、出かけたり、色々な事を共有したいです。
私の好きなコト、モノ	好きな人と一緒に話したり、食事したり、ドライブしたり、旅行したり、色々な時間や経験を共有することが好きです。
理想の結婚、夫婦、家族像	お互い話したり、食事したり、出かけたり、苦労したりしつつ、一緒にいられる普通の日常が一番の幸せと思える夫婦が理想です。
■追加質問
【会員様のファーストネーム（ひらがな）】	なかむら
【会員様と初めて話した時に直観的に感じた印象や雰囲気は？】	穏やかな雰囲気、親しみやすい笑顔
【仕事で「好きだ」「やりがいを感じる」と話していたこと、または「担当者からの印象」は？】	ご自身の技術が世界中で使われている
【趣味や休日の過ごし方の中で、どんな時に楽しそうに話していましたか？】	ドライブ、神社仏閣巡り
【会員様との会話で感じた、優しさ・思いやり・その他の印象に残ったポイントは？】	次世代技術の開発にも情熱を注いでいる
【結婚後の夢・続けたいこと・一緒にやりたいことなど】	食事、ドライブなど楽しいことを共有
【会員様が結婚生活で大事にしたいことは？】	お互いを尊重する
【担当者目線での会員様の魅力は？】	出会いやご縁を大切にされている</t>
  </si>
  <si>
    <t>■実験データ</t>
  </si>
  <si>
    <t>■担当者紹介文_プロンプト</t>
  </si>
  <si>
    <t>・プロンプトの文章です。01から順に検証を進めます。</t>
  </si>
  <si>
    <t>Rec-01（サンプルシートに記載のルール）</t>
  </si>
  <si>
    <t>Rec-05（02～04の問題点を解消したルール）</t>
  </si>
  <si>
    <t>Rec-06（Rec-05をベースに文字数及びFB内容を反映したルール）</t>
  </si>
  <si>
    <t>Rec-07（「男性です」「女性です」の表現を変更したルール）</t>
  </si>
  <si>
    <t>Rec-08（名前を削除したルール）</t>
  </si>
  <si>
    <t>Rec-09（名前の表記に関してより強めたルール）</t>
  </si>
  <si>
    <t>基本ルール</t>
  </si>
  <si>
    <t>「基本ルール」から担当者紹介文を作成してください。
生成する際は、【箇条書きの文章】と【平文】の2つを生成すること。ただし、中身は同じものとしてください。
正しさと統一感があり信頼できる文章であり、変化に富み、読み手のイメージを膨らませる文章であることが望ましいです。
なお、「チェック項目」にあるすべての項目をクリアした担当者紹介文を生成すること。
■基本ルール
1. 400以上460文字以下で文章を生成する。※1回の改行につき1文字としてカウントすること。
2. 名前は、ファーストネームのひらがな＋様で表記する。※カタカナ・漢字はNG
3. 箇条書きと、箇条書きを平文にしたもの、2つを生成すること。
4. 箇条書きの場合、文頭は中黒「・」で統一する。
5. 話し言葉を避ける。
6. 並列表現をしない。
7. 過剰な美化語を使用しない。
8. 文末は、「ぜひお会いになってみてください」「と、お話しくださいました」「ぜひお人柄に触れてみてください」「・・・・な、家庭を築かれるでしょう」「・・・ことでしょう」をランダムに記載する
9. 上記ルールを適用するうえで文中に表現が見つからない場合は本件事項をスキップする。なおスキップした際は一番末尾にスキップしたルール番号を出力すること。スキップ項目がない場合は、何も表記しなくてよい。
除外項目：No.1 400以上460文字以下で文章を生成する。※1回の改行につき1文字としてカウントすること。</t>
  </si>
  <si>
    <r>
      <t xml:space="preserve">「基本ルール」から担当者紹介文を作成してください。
生成する際は、箇条書きの文章と平文の2つを生成すること。ただし、中身は同じものとしてください。
正しさと統一感があり信頼できる文章であり、変化があり読み手のイメージを膨らませる文章であることが望ましいです。
なお、「チェック項目」にあるすべての項目をクリアした担当者紹介文を生成すること。
■基本ルール
1. 400以上460文字以下で文章を生成する。※1回の改行につき1文字としてカウントすること。
2. 名前は、ファーストネームのひらがな＋様で表記する。※カタカナ・漢字はNG
</t>
    </r>
    <r>
      <rPr>
        <sz val="11"/>
        <color rgb="FFff0000"/>
        <rFont val="游ゴシック"/>
        <family val="2"/>
      </rPr>
      <t>3. 紹介文の中に必ず名前を1回入れる。</t>
    </r>
    <r>
      <rPr>
        <sz val="11"/>
        <color rgb="FF000000"/>
        <rFont val="游ゴシック"/>
        <family val="2"/>
      </rPr>
      <t xml:space="preserve">
4. 箇条書きと、箇条書きを平文にしたもの、2つを生成すること。
5. 箇条書きの場合、文頭は中黒「・」で統一する。
</t>
    </r>
    <r>
      <rPr>
        <sz val="11"/>
        <color rgb="FFff0000"/>
        <rFont val="游ゴシック"/>
        <family val="2"/>
      </rPr>
      <t>6. 平文を生成する際、以下に記載の文章構成①～⑥に沿って、テーマごとに改行すること。ただし、改行したのち、さらに1行空けることはしない。</t>
    </r>
    <r>
      <rPr>
        <sz val="11"/>
        <color rgb="FF000000"/>
        <rFont val="游ゴシック"/>
        <family val="2"/>
      </rPr>
      <t xml:space="preserve">
7. 話し言葉を避ける。
8. 並列表現をしない。
9. 過剰な美化語を使用しない。
10. 文末は、「ぜひお会いになってみてください」「と、お話しくださいました」「ぜひお人柄に触れてみてください」「・・・・な、家庭を築かれるでしょう」「・・・ことでしょう」をランダムに記載する
11. 上記ルールを適用するうえで文中に表現が見つからない場合は本件事項をスキップする。なおスキップした際は一番末尾にスキップしたルール番号を出力すること。スキップ項目がない場合は、何も表記しなくてよい。
除外項目：No.1 400以上460文字以下で文章を生成する。※1回の改行につき1文字としてカウントすること。</t>
    </r>
  </si>
  <si>
    <r>
      <t xml:space="preserve">「基本ルール」から担当者紹介文を作成してください。
</t>
    </r>
    <r>
      <rPr>
        <sz val="11"/>
        <color rgb="FFff0000"/>
        <rFont val="游ゴシック"/>
        <family val="2"/>
      </rPr>
      <t>入力として与えられる情報のみを使用し、事実に基づいた文章を生成してください。事実が不足する場合は、他の回答から推測できる範囲で自然に補完してください。根拠のない創作は禁止です。</t>
    </r>
    <r>
      <rPr>
        <sz val="11"/>
        <color rgb="FF000000"/>
        <rFont val="游ゴシック"/>
        <family val="2"/>
      </rPr>
      <t xml:space="preserve">
生成する際は、箇条書きの文章と平文の2つを生成すること。ただし、中身は同じものとしてください。
正しさと統一感があり信頼できる文章であり、変化があり読み手のイメージを膨らませる文章であることが望ましいです。
なお、「チェック項目」にあるすべての項目をクリアした担当者紹介文を生成すること。
■基本ルール
1. 400以上460文字以下で文章を生成する。※1回の改行につき1文字としてカウントすること。
2. 名前は、ファーストネームのひらがな＋様で表記する。※カタカナ・漢字はNG
</t>
    </r>
    <r>
      <rPr>
        <sz val="11"/>
        <color rgb="FFff0000"/>
        <rFont val="游ゴシック"/>
        <family val="2"/>
      </rPr>
      <t>3. 紹介文の中に必ず名前を1回入れる。</t>
    </r>
    <r>
      <rPr>
        <sz val="11"/>
        <color rgb="FF000000"/>
        <rFont val="游ゴシック"/>
        <family val="2"/>
      </rPr>
      <t xml:space="preserve">
4. 箇条書きと、箇条書きを平文にしたもの、2つを生成すること。
5. 箇条書きの場合、文頭は中黒「・」で統一する。
</t>
    </r>
    <r>
      <rPr>
        <sz val="11"/>
        <color rgb="FFff0000"/>
        <rFont val="游ゴシック"/>
        <family val="2"/>
      </rPr>
      <t>6. 平文を生成する際、以下に記載の文章構成①～⑥に沿って、テーマごとに改行すること。</t>
    </r>
    <r>
      <rPr>
        <sz val="11"/>
        <color rgb="FF000000"/>
        <rFont val="游ゴシック"/>
        <family val="2"/>
      </rPr>
      <t xml:space="preserve">
7. 話し言葉を避ける。
8. 並列表現をしない。</t>
    </r>
    <r>
      <rPr>
        <sz val="11"/>
        <color rgb="FFff0000"/>
        <rFont val="游ゴシック"/>
        <family val="2"/>
      </rPr>
      <t>ただし、単語レベルではOK（文章レベルはNG）</t>
    </r>
    <r>
      <rPr>
        <sz val="11"/>
        <color rgb="FF000000"/>
        <rFont val="游ゴシック"/>
        <family val="2"/>
      </rPr>
      <t xml:space="preserve">
9. 過剰な美化語を使用しない。
10. 文末は、「ぜひお会いになってみてください」「と、お話しくださいました」「ぜひお人柄に触れてみてください」「・・・・な、家庭を築かれるでしょう」「・・・ことでしょう」をランダムに記載する
11. 上記ルールを適用するうえで文中に表現が見つからない場合は本件事項をスキップする。なおスキップした際は一番末尾にスキップしたルール番号を出力すること。スキップ項目がない場合は、何も表記しなくてよい。
除外項目：No.1 400以上460文字以下で文章を生成する。※1回の改行につき1文字としてカウントすること。
</t>
    </r>
    <r>
      <rPr>
        <sz val="11"/>
        <color rgb="FFff0000"/>
        <rFont val="游ゴシック"/>
        <family val="2"/>
      </rPr>
      <t>12.根拠のない創作は禁止、事実が不足する場合は、他の回答から推測できる範囲で自然に補完すること。</t>
    </r>
  </si>
  <si>
    <r>
      <t xml:space="preserve">「基本ルール」から担当者紹介文を作成してください。
</t>
    </r>
    <r>
      <rPr>
        <sz val="11"/>
        <color rgb="FFff0000"/>
        <rFont val="游ゴシック"/>
        <family val="2"/>
      </rPr>
      <t>入力として与えられる情報のみを使用し、事実に基づいた文章を生成してください。事実が不足する場合は、他の回答から推測できる範囲で自然に補完してください。根拠のない創作は禁止です。</t>
    </r>
    <r>
      <rPr>
        <sz val="11"/>
        <color rgb="FF000000"/>
        <rFont val="游ゴシック"/>
        <family val="2"/>
      </rPr>
      <t xml:space="preserve">
生成する際は、箇条書きの文章と平文の2つを生成すること。ただし、中身は同じものとしてください。
正しさと統一感があり信頼できる文章であり、変化があり読み手のイメージを膨らませる文章であることが望ましいです。
なお、「チェック項目」にあるすべての項目をクリアした担当者紹介文を生成すること。
■基本ルール
1. 400以上460文字以下で文章を生成する。※1回の改行につき1文字としてカウントすること。
2. 名前は、ファーストネームのひらがな＋様で表記する。※カタカナ・漢字はNG
</t>
    </r>
    <r>
      <rPr>
        <sz val="11"/>
        <color rgb="FFff0000"/>
        <rFont val="游ゴシック"/>
        <family val="2"/>
      </rPr>
      <t>3. 紹介文の中に必ず名前を1回入れる。</t>
    </r>
    <r>
      <rPr>
        <sz val="11"/>
        <color rgb="FF000000"/>
        <rFont val="游ゴシック"/>
        <family val="2"/>
      </rPr>
      <t xml:space="preserve">
4. 箇条書きと、箇条書きを平文化した文章の2つを生成すること。
5. 箇条書きの場合、文頭は中黒「・」で統一する。
</t>
    </r>
    <r>
      <rPr>
        <sz val="11"/>
        <color rgb="FFff0000"/>
        <rFont val="游ゴシック"/>
        <family val="2"/>
      </rPr>
      <t xml:space="preserve">6. 平文を生成する際、以下に記載の文章構成①～⑥に沿って、テーマごとに改行すること。
</t>
    </r>
    <r>
      <rPr>
        <sz val="11"/>
        <color rgb="FF000000"/>
        <rFont val="游ゴシック"/>
        <family val="2"/>
      </rPr>
      <t>7. 話し言葉を避ける。
8. 並列表現をしない。</t>
    </r>
    <r>
      <rPr>
        <sz val="11"/>
        <color rgb="FFff0000"/>
        <rFont val="游ゴシック"/>
        <family val="2"/>
      </rPr>
      <t>ただし、単語レベルではOK（文章レベルはNG）</t>
    </r>
    <r>
      <rPr>
        <sz val="11"/>
        <color rgb="FF000000"/>
        <rFont val="游ゴシック"/>
        <family val="2"/>
      </rPr>
      <t xml:space="preserve">
9. 過剰な美化語を使用しない。
10. 文末は、「ぜひお会いになってみてください」「と、お話しくださいました」「ぜひお人柄に触れてみてください」「・・・・な、家庭を築かれるでしょう」「・・・ことでしょう」をランダムに記載する
11. 上記ルールを適用するうえで文中に表現が見つからない場合は本件事項をスキップする。なおスキップした際は一番末尾にスキップしたルール番号を出力すること。スキップ項目がない場合は、何も表記しなくてよい。
除外項目：No.1 400以上460文字以下で文章を生成する。※1回の改行につき1文字としてカウントすること。
12.根拠のない創作は禁止、事実が不足する場合は、他の回答から推測できる範囲で自然に補完すること。
</t>
    </r>
    <r>
      <rPr>
        <sz val="11"/>
        <color rgb="FFff0000"/>
        <rFont val="游ゴシック"/>
        <family val="2"/>
      </rPr>
      <t>13.各文章間は自然な接続詞や表現を用いて滑らかにつなげること</t>
    </r>
    <r>
      <rPr>
        <sz val="11"/>
        <color rgb="FF000000"/>
        <rFont val="游ゴシック"/>
        <family val="2"/>
      </rPr>
      <t xml:space="preserve">
</t>
    </r>
    <r>
      <rPr>
        <sz val="11"/>
        <color rgb="FFff0000"/>
        <rFont val="游ゴシック"/>
        <family val="2"/>
      </rPr>
      <t>14.職業や趣味については、単なる事実の羅列ではなく、その人の価値観や人柄が伝わるように記述すること</t>
    </r>
  </si>
  <si>
    <r>
      <t xml:space="preserve">「基本ルール」「文章構成」から担当者紹介文を作成してください。
生成する際は、箇条書きの文章と平文の2つを生成すること。ただし、中身は同じものとしてください。
正しさと統一感があり信頼できる文章であること、また変化があり読み手のイメージを膨らませる文章であることが望ましいです。
なお、「チェック項目」にあるすべての項目をクリアした担当者紹介文を生成すること。
</t>
    </r>
    <r>
      <rPr>
        <sz val="11"/>
        <color rgb="FFff0000"/>
        <rFont val="游ゴシック"/>
        <family val="2"/>
      </rPr>
      <t xml:space="preserve">担当者紹介文を生成したのち、チェック項目に沿って出ているか、○×で答えたものも出力してください。
また、そう判断した理由も教えてください。
</t>
    </r>
    <r>
      <rPr>
        <sz val="11"/>
        <color rgb="FF000000"/>
        <rFont val="游ゴシック"/>
        <family val="2"/>
      </rPr>
      <t xml:space="preserve">
■基本ルール
</t>
    </r>
    <r>
      <rPr>
        <sz val="11"/>
        <color rgb="FFff0000"/>
        <rFont val="游ゴシック"/>
        <family val="2"/>
      </rPr>
      <t xml:space="preserve">1. 400以上～460文字以下で文章を生成する。
　・ひらがな、カタカナ、漢字、英数字、記号、スペース、1回の改行をすべて1文字とし、総文字数をカウントする。
</t>
    </r>
    <r>
      <rPr>
        <sz val="11"/>
        <color rgb="FF000000"/>
        <rFont val="游ゴシック"/>
        <family val="2"/>
      </rPr>
      <t xml:space="preserve">2. 名前は、ファーストネームのひらがな＋様で表記する。※カタカナ・漢字はNG
3. 紹介文の中に必ず名前を1回入れる。
4. 箇条書きと、箇条書きを平文化した文章の2つを生成すること。
5. 箇条書きの場合、文頭は中黒「・」で統一する。
</t>
    </r>
    <r>
      <rPr>
        <sz val="11"/>
        <color rgb="FFff0000"/>
        <rFont val="游ゴシック"/>
        <family val="2"/>
      </rPr>
      <t xml:space="preserve">6. 平文を生成する際は、箇条書きから中黒「・」とり、自然な接続詞や表現を用いて各文章間を滑らかにつなげること。
7. 平文生成時は一文ごとに改行すること。
</t>
    </r>
    <r>
      <rPr>
        <sz val="11"/>
        <color theme="1"/>
        <rFont val="游ゴシック"/>
        <family val="2"/>
      </rPr>
      <t>8. 話し言葉を避ける。</t>
    </r>
    <r>
      <rPr>
        <sz val="11"/>
        <color rgb="FF000000"/>
        <rFont val="游ゴシック"/>
        <family val="2"/>
      </rPr>
      <t xml:space="preserve">
9. 並列表現をしない。ただし、単語レベルではOK（文章レベルはNG）
10. 過剰な美化語を使用しない。
11. 文末は、「ぜひお会いになってみてください」「と、お話しくださいました」「ぜひお人柄に触れてみてください」「・・・・な、家庭を築かれるでしょう」「・・・ことでしょう」をランダムに記載する
</t>
    </r>
    <r>
      <rPr>
        <sz val="11"/>
        <color rgb="FFff0000"/>
        <rFont val="游ゴシック"/>
        <family val="2"/>
      </rPr>
      <t>12.根拠のない創作は禁止。事実が不足する場合は、他の回答から推測できる範囲で自然に補完すること。
13.職業や趣味については、単なる事実の羅列ではなく、その人の価値観や人柄が伝わるように記述すること。</t>
    </r>
  </si>
  <si>
    <r>
      <t>「# 基本ルール」「# 文章構成」から担当者紹介文を作成してください。
生成する際は、箇条書きの文章と平文の2つを生成すること。ただし、中身は同じものとしてください。
正しさと統一感があり信頼できる文章であること、また変化があり読み手のイメージを膨らませる文章であることが望ましいです。
なお、「# 基本ルール」にあるすべての項目をクリアした紹介文を生成すること。
担当者紹介文を生成したのち、「# 基本ルール」のすべての項目に沿って出ているか、○×で答えたものも出力してください。
また、そう判断した理由も教えてください。
# 基本ルール
1. 箇条書きも平文もどちらも</t>
    </r>
    <r>
      <rPr>
        <sz val="11"/>
        <color rgb="FFff0000"/>
        <rFont val="游ゴシック"/>
        <family val="2"/>
      </rPr>
      <t>440字以上～470字以下</t>
    </r>
    <r>
      <rPr>
        <sz val="11"/>
        <color rgb="FF000000"/>
        <rFont val="游ゴシック"/>
        <family val="2"/>
      </rPr>
      <t xml:space="preserve">で生成すること。
　ひらがな、カタカナ、漢字、英数字、記号、スペース、1回の改行をすべて1文字とし、総文字数をカウントする。
2. 名前は、ファーストネームのひらがな＋様で表記する。※カタカナ・漢字はNG
</t>
    </r>
    <r>
      <rPr>
        <sz val="11"/>
        <color rgb="FFff0000"/>
        <rFont val="游ゴシック"/>
        <family val="2"/>
      </rPr>
      <t>3. 紹介文の最初に、【会員様と初めて話した時に直観的に感じた印象や雰囲気は？】と絡めて「・・・な●●様」「・・・な印象の●●様」と担当者からの印象で紹介を始める。尚、初めて話した時、などの時節説明はいらない。</t>
    </r>
    <r>
      <rPr>
        <sz val="11"/>
        <color rgb="FF000000"/>
        <rFont val="游ゴシック"/>
        <family val="2"/>
      </rPr>
      <t xml:space="preserve">
4. 箇条書きと、箇条書きを平文化した文章の2つを生成すること。
5. 箇条書きの場合、文頭は中黒「・」で統一する。
6. 平文を生成する際は、箇条書きから中黒「・」とり、自然な接続詞を用いるが、冗長にならないように簡潔に書くこと。
7. 平文生成時は一文ごとに改行すること。
8. 話し言葉を避ける。
9. 並列表現をしない。ただし、単語レベルではOK（文章レベルはNG）
10. 過剰な美化語を使用しない。
11.職業や趣味については、単なる事実の羅列ではなく、その人の価値観や人柄が伝わるように記述すること。
</t>
    </r>
    <r>
      <rPr>
        <sz val="11"/>
        <color rgb="FFff0000"/>
        <rFont val="游ゴシック"/>
        <family val="2"/>
      </rPr>
      <t>12.追加質問の内容はすべてテキストに含めること</t>
    </r>
    <r>
      <rPr>
        <sz val="11"/>
        <color rgb="FF000000"/>
        <rFont val="游ゴシック"/>
        <family val="2"/>
      </rPr>
      <t xml:space="preserve">
</t>
    </r>
    <r>
      <rPr>
        <sz val="11"/>
        <color rgb="FFff0000"/>
        <rFont val="游ゴシック"/>
        <family val="2"/>
      </rPr>
      <t>13.追加質問の【担当者目線での会員様の魅力は？】の内容がテキスト内に含められなかった場合、【会員様と初めて話した時に直観的に感じた印象や雰囲気は？】の内容とまとめて記載すること。
14.仕事や業務に関して記述する際、抽象的・ビジネス評価的な言葉（尊重、尊敬、信頼、評価、印象的、優秀、リーダーシップなど）は使わず、仕事での行動や人柄を日常的な言葉で表現すること。
15. 年齢や身長といった具体的な数字はいれないこと。</t>
    </r>
    <r>
      <rPr>
        <sz val="11"/>
        <color rgb="FF000000"/>
        <rFont val="游ゴシック"/>
        <family val="2"/>
      </rPr>
      <t xml:space="preserve">
</t>
    </r>
    <r>
      <rPr>
        <sz val="11"/>
        <color rgb="FFff0000"/>
        <rFont val="游ゴシック"/>
        <family val="2"/>
      </rPr>
      <t>16. 最後の文章は、文末は「・・・な●●様にぜひお会いになってみてください」「・・・と、●●様はお話しくださいました」「・・・なお人柄にぜひ触れてみてください」「・・・な、家庭を築かれるでしょう」「・・・ことでしょう」をランダムに記載する</t>
    </r>
  </si>
  <si>
    <r>
      <t/>
    </r>
    <r>
      <rPr>
        <sz val="11"/>
        <color rgb="FFff0000"/>
        <rFont val="游ゴシック"/>
        <family val="2"/>
      </rPr>
      <t>＃命令文</t>
    </r>
    <r>
      <rPr>
        <sz val="11"/>
        <color theme="1"/>
        <rFont val="游ゴシック"/>
        <family val="2"/>
      </rPr>
      <t xml:space="preserve">
「# 基本ルール」「# 文章構成」から担当者紹介文を作成してください。
生成する際は、箇条書きの文章と平文の2つを生成すること。ただし、中身は同じものとしてください。
正しさと統一感があり信頼できる文章であること、また変化があり読み手のイメージを膨らませる文章であることが望ましいです。
なお、「# チェック項目」にあるすべての項目をクリアした紹介文を生成すること。
担当者紹介文を生成したのち、チェック項目に沿って出ているか、○×で答えたものも出力してください。
また、そう判断した理由も教えてください。
# 基本ルール
1. 箇条書きも平文もどちらも440字以上～470字以下で生成すること。
　ひらがな、カタカナ、漢字、英数字、記号、スペース、1回の改行をすべて1文字とし、総文字数をカウントする。
2. 名前は、ファーストネームのひらがな＋様で表記する。※カタカナ・漢字はNG
3. 紹介文の最初に、【会員様と初めて話した時に直観的に感じた印象や雰囲気は？】と絡めて「・・・な●●様」「・・・な印象の●●様」と担当者からの印象で紹介を始める。尚、初めて話した時、などの時節説明はいらない。
</t>
    </r>
    <r>
      <rPr>
        <sz val="11"/>
        <color rgb="FFff0000"/>
        <rFont val="游ゴシック"/>
        <family val="2"/>
      </rPr>
      <t>4. 印象や雰囲気を記述する際、「男性です」「女性です」と表現せず、「・・・方です」「・・・をお持ちです」といった表現をランダムに記載すること。</t>
    </r>
    <r>
      <rPr>
        <sz val="11"/>
        <color theme="1"/>
        <rFont val="游ゴシック"/>
        <family val="2"/>
      </rPr>
      <t xml:space="preserve">
5. 箇条書きと、箇条書きを平文化した文章の2つを生成すること。
6. 箇条書きの場合、文頭は中黒「・」で統一する。
7. 平文を生成する際は、箇条書きから中黒「・」とり、自然な接続詞を用いるが、冗長にならないように簡潔に書くこと。
8. 平文生成時は一文ごとに改行すること。
9. 話し言葉を避ける。
10. 並列表現をしない。ただし、単語レベルではOK（文章レベルはNG）
11. 過剰な美化語を使用しない。
12.職業や趣味については、単なる事実の羅列ではなく、その人の価値観や人柄が伝わるように記述すること。
13.追加質問の内容はすべてテキストに含めること
14.追加質問の【担当者目線での会員様の魅力は？】の内容がテキスト内に含められなかった場合、【会員様と初めて話した時に直観的に感じた印象や雰囲気は？】の内容とまとめて記載すること。
15.仕事や業務に関して記述する際、抽象的・ビジネス評価的な言葉（尊重、尊敬、信頼、評価、印象的、優秀、リーダーシップなど）は使わず、仕事での行動や人柄を日常的な言葉で表現すること。
16. 年齢や身長といった具体的な数字はいれないこと。
17. 最後の文章は、文末は「・・・な●●様にぜひお会いになってみてください」「・・・と、●●様はお話しくださいました」「・・・なお人柄にぜひ触れてみてください」「・・・な、家庭を築かれるでしょう」「・・・ことでしょう」をランダムに記載する</t>
    </r>
  </si>
  <si>
    <r>
      <t xml:space="preserve">＃命令文
「# 基本ルール」「# 文章構成」から担当者紹介文を作成してください。
生成する際は、箇条書きの文章と平文の2つを生成すること。ただし、中身は同じものとしてください。
正しさと統一感があり信頼できる文章であること、また変化があり読み手のイメージを膨らませる文章であることが望ましいです。
なお、「# チェック項目」にあるすべての項目をクリアした紹介文を生成すること。
担当者紹介文を生成したのち、チェック項目に沿って出ているか、○×で答えたものも出力してください。
また、そう判断した理由も教えてください。
# 基本ルール
1. 箇条書きも平文もどちらも440字以上～470字以下で生成すること。
　ひらがな、カタカナ、漢字、英数字、記号、スペース、1回の改行をすべて1文字とし、総文字数をカウントする。
</t>
    </r>
    <r>
      <rPr>
        <sz val="11"/>
        <color rgb="FFff0000"/>
        <rFont val="游ゴシック"/>
        <family val="2"/>
      </rPr>
      <t>2. 紹介文の最初に、【会員様と初めて話した時に直観的に感じた印象や雰囲気は？】と絡めて「・・・な方」「・・・な印象の方」と担当者からの印象で紹介を始める。尚、初めて話した時、などの時節説明はいらない。</t>
    </r>
    <r>
      <rPr>
        <sz val="11"/>
        <color theme="1"/>
        <rFont val="游ゴシック"/>
        <family val="2"/>
      </rPr>
      <t xml:space="preserve">
3. 印象や雰囲気を記述する際、「男性です」「女性です」と表現せず、「・・・方です」「・・・をお持ちです」といった表現をランダムに記載すること。
4. 箇条書きと、箇条書きを平文化した文章の2つを生成すること。
5. 箇条書きの場合、文頭は中黒「・」で統一する。
6. 平文を生成する際は、箇条書きから中黒「・」とり、自然な接続詞を用いるが、冗長にならないように簡潔に書くこと。
7. 平文生成時は一文ごとに改行すること。
8. 話し言葉を避ける。
9. 並列表現をしない。ただし、単語レベルではOK（文章レベルはNG）
10. 過剰な美化語を使用しない。
11.職業や趣味については、単なる事実の羅列ではなく、その人の価値観や人柄が伝わるように記述すること。
12.追加質問の内容はすべてテキストに含めること
13.追加質問の【担当者目線での会員様の魅力は？】の内容がテキスト内に含められなかった場合、【会員様と初めて話した時に直観的に感じた印象や雰囲気は？】の内容とまとめて記載すること。
14.仕事や業務に関して記述する際、抽象的・ビジネス評価的な言葉（尊重、尊敬、信頼、評価、印象的、優秀、リーダーシップなど）は使わず、仕事での行動や人柄を日常的な言葉で表現すること。
15. 年齢や身長といった具体的な数字はいれないこと。
</t>
    </r>
    <r>
      <rPr>
        <sz val="11"/>
        <color rgb="FFff0000"/>
        <rFont val="游ゴシック"/>
        <family val="2"/>
      </rPr>
      <t xml:space="preserve">16. 最後の文章は、文末は「・・・ぜひお会いになってみてください」「・・・と、お話しくださいました」「・・・なお人柄にぜひ触れてみてください」「・・・な、家庭を築かれるでしょう」「・・・ことでしょう」をランダムに記載する
</t>
    </r>
  </si>
  <si>
    <r>
      <t xml:space="preserve">＃命令文
「# 基本ルール」「# 文章構成」から担当者紹介文を作成してください。
生成する際は、箇条書きの文章と平文の2つを生成すること。ただし、中身は同じものとしてください。
正しさと統一感があり信頼できる文章であること、また変化があり読み手のイメージを膨らませる文章であることが望ましいです。
なお、「# チェック項目」にあるすべての項目をクリアした紹介文を生成すること。
担当者紹介文を生成したのち、チェック項目に沿って出ているか、○×で答えたものも出力してください。
また、そう判断した理由も教えてください。
# 基本ルール
1. 箇条書きも平文もどちらも440字以上～470字以下で生成すること。
　ひらがな、カタカナ、漢字、英数字、記号、スペース、1回の改行をすべて1文字とし、総文字数をカウントする。
2. 紹介文の最初に、【会員様と初めて話した時に直観的に感じた印象や雰囲気は？】と絡めて「・・・な方」「・・・な印象の方」と担当者からの印象で紹介を始める。尚、初めて話した時、などの時節説明はいらない。
3. 印象や雰囲気を記述する際、「男性です」「女性です」と表現せず、「・・・方です」「・・・をお持ちです」といった表現をランダムに記載すること。
4. 箇条書きと、箇条書きを平文化した文章の2つを生成すること。
5. 箇条書きの場合、文頭は中黒「・」で統一する。
6. 平文を生成する際は、箇条書きから中黒「・」とり、自然な接続詞を用いるが、冗長にならないように簡潔に書くこと。
7. 平文生成時は一文ごとに改行すること。
8. 話し言葉を避ける。
9. 並列表現をしない。ただし、単語レベルではOK（文章レベルはNG）
10. 過剰な美化語を使用しない。
11.職業や趣味については、単なる事実の羅列ではなく、その人の価値観や人柄が伝わるように記述すること。
12.追加質問の内容はすべてテキストに含めること
13.追加質問の【担当者目線での会員様の魅力は？】の内容がテキスト内に含められなかった場合、【会員様と初めて話した時に直観的に感じた印象や雰囲気は？】の内容とまとめて記載すること。
14.仕事や業務に関して記述する際、抽象的・ビジネス評価的な言葉（尊重、尊敬、信頼、評価、印象的、優秀、リーダーシップなど）は使わず、仕事での行動や人柄を日常的な言葉で表現すること。
15. 年齢や身長といった具体的な数字はいれないこと。
</t>
    </r>
    <r>
      <rPr>
        <sz val="11"/>
        <color rgb="FFff0000"/>
        <rFont val="游ゴシック"/>
        <family val="2"/>
      </rPr>
      <t>16. 名前やニックネームを表記しないこと。</t>
    </r>
    <r>
      <rPr>
        <sz val="11"/>
        <color theme="1"/>
        <rFont val="游ゴシック"/>
        <family val="2"/>
      </rPr>
      <t xml:space="preserve">
17. 最後の文章は、文末は「・・・ぜひお会いになってみてください」「・・・と、お話しくださいました」「・・・なお人柄にぜひ触れてみてください」「・・・な、家庭を築かれるでしょう」「・・・ことでしょう」をランダムに記載する</t>
    </r>
  </si>
  <si>
    <t>文章構成</t>
  </si>
  <si>
    <t>■文章構成
①担当者からの印象
・顔を合わせたときに向けてくださる、優しいまなざしの笑顔が印象的な●●●様。
・色白でかわいらしい顔立ちの●●●様。やわらかい目元が印象的で穏やかな雰囲気をお持ちの方です。
・女性の場合：・清楚で可愛らしい●●●様。温かな眼差しでお話しくださる空間が心地よく、自然とこちらまで笑顔にさせてくださる気遣いのできる女性です。
・男性の場合：・爽やかな笑顔が素敵な●●●様。質問に対しても丁寧にお話しくださるお姿から、誠実で温和なお人柄を感じます。
②仕事
・現在は〇〇の仕事に就かれ、日々〇〇に取り組んでいらっしゃいます。
・お仕事は子供服の接客販売をされています。"
③仕事のやりがい・職場関係
・職場では、仕事のご相談を受けることが多く、できる限り時間をつくって話に耳を傾けていらっしゃることからも、誠実なお人柄を感じました。
④趣味・休日の過ごし方
・ご趣味はアウトドアが多いそうですが、ご自宅では、料理をつくる機会が増え、色々な料理にチャレンジされていらっしゃいます。
⑤エピソード
・学生時代のご友人とは今でも親交があり、部活動で励んでいたバドミントンや避暑地でのキャンプなどを一緒に楽しまれるそうです。
⑥未来像
・ご結婚後は、「お互いの趣味を共有して、お相手と一緒に日常生活を楽しめる工夫をしていきたいです」と笑顔でお話しくださいました。</t>
  </si>
  <si>
    <t>■文章構成
①担当者からの印象
・顔を合わせたときに向けてくださる、優しいまなざしの笑顔が印象的な●●●様。
・色白でかわいらしい顔立ちの●●●様。やわらかい目元が印象的で穏やかな雰囲気をお持ちの方です。
・特に女性の場合：・清楚で可愛らしい●●●様。温かな眼差しでお話しくださる空間が心地よく、自然とこちらまで笑顔にさせてくださる気遣いのできる女性です。
・特に男性の場合：・爽やかな笑顔が素敵な●●●様。質問に対しても丁寧にお話しくださるお姿から、誠実で温和なお人柄を感じます。
②仕事
・現在は〇〇の仕事に就かれ、日々〇〇に取り組んでいらっしゃいます。
・お仕事は子供服の接客販売をされています。"
③仕事のやりがい・職場関係
・職場では、仕事のご相談を受けることが多く、できる限り時間をつくって話に耳を傾けていらっしゃることからも、誠実なお人柄を感じました。
④趣味・休日の過ごし方
・ご趣味はアウトドアが多いそうですが、ご自宅では、料理をつくる機会が増え、色々な料理にチャレンジされていらっしゃいます。
⑤エピソード
・学生時代のご友人とは今でも親交があり、部活動で励んでいたバドミントンや避暑地でのキャンプなどを一緒に楽しまれるそうです。
⑥未来像
・ご結婚後は、「お互いの趣味を共有して、お相手と一緒に日常生活を楽しめる工夫をしていきたいです」と笑顔でお話しくださいました。</t>
  </si>
  <si>
    <t># 文章構成
①担当者からの印象
・顔を合わせたときに向けてくださる、優しいまなざしの笑顔が印象的な●●●様。
・色白でかわいらしい顔立ちの●●●様。やわらかい目元が印象的で穏やかな雰囲気をお持ちの方です。
・特に女性の場合：・清楚で可愛らしい●●●様。温かな眼差しでお話しくださる空間が心地よく、自然とこちらまで笑顔にさせてくださる気遣いのできる女性です。
・特に男性の場合：・爽やかな笑顔が素敵な●●●様。質問に対しても丁寧にお話しくださるお姿から、誠実で温和なお人柄を感じます。
②仕事
・現在は〇〇の仕事に就かれ、日々〇〇に取り組んでいらっしゃいます。
・お仕事は子供服の接客販売をされています。
③仕事のやりがい・職場関係
・職場では、仕事のご相談を受けることが多く、できる限り時間をつくって話に耳を傾けていらっしゃることからも、誠実なお人柄を感じました。
④趣味・休日の過ごし方
・ご趣味はアウトドアが多いそうですが、ご自宅では、料理をつくる機会が増え、色々な料理にチャレンジされていらっしゃいます。
⑤エピソード
・学生時代のご友人とは今でも親交があり、部活動で励んでいたバドミントンや避暑地でのキャンプなどを一緒に楽しまれるそうです。
⑥未来像
・ご結婚後は、「お互いの趣味を共有して、お相手と一緒に日常生活を楽しめる工夫をしていきたいです」と笑顔でお話しくださいました。</t>
  </si>
  <si>
    <r>
      <t xml:space="preserve"># 文章構成
①担当者からの印象
・顔を合わせたときに向けてくださる、優しいまなざしの笑顔が印象的な●●●様。
・色白でかわいらしい顔立ちの●●●様。やわらかい目元が印象的で穏やかな雰囲気をお持ちの方です。
</t>
    </r>
    <r>
      <rPr>
        <sz val="11"/>
        <color rgb="FFff0000"/>
        <rFont val="游ゴシック"/>
        <family val="2"/>
      </rPr>
      <t>・特に女性の場合：清楚で可愛らしい●●●様。温かな眼差しでお話しくださる空間が心地よく、自然とこちらまで笑顔にさせてくださる気遣いのできる方です。</t>
    </r>
    <r>
      <rPr>
        <sz val="11"/>
        <color theme="1"/>
        <rFont val="游ゴシック"/>
        <family val="2"/>
      </rPr>
      <t xml:space="preserve">
・特に男性の場合：爽やかな笑顔が素敵な●●●様。質問に対しても丁寧にお話しくださるお姿から、誠実で温和なお人柄を感じます。
②仕事
・現在は〇〇の仕事に就かれ、日々〇〇に取り組んでいらっしゃいます。
・お仕事は子供服の接客販売をされています。
③仕事のやりがい・職場関係
・職場では、仕事のご相談を受けることが多く、できる限り時間をつくって話に耳を傾けていらっしゃることからも、誠実なお人柄を感じました。
④趣味・休日の過ごし方
・ご趣味はアウトドアが多いそうですが、ご自宅では、料理をつくる機会が増え、色々な料理にチャレンジされていらっしゃいます。
⑤エピソード
・学生時代のご友人とは今でも親交があり、部活動で励んでいたバドミントンや避暑地でのキャンプなどを一緒に楽しまれるそうです。
⑥未来像
・ご結婚後は、「お互いの趣味を共有して、お相手と一緒に日常生活を楽しめる工夫をしていきたいです」と笑顔でお話しくださいました。</t>
    </r>
  </si>
  <si>
    <r>
      <t xml:space="preserve"># 文章構成
①担当者からの印象
</t>
    </r>
    <r>
      <rPr>
        <sz val="11"/>
        <color rgb="FFff0000"/>
        <rFont val="游ゴシック"/>
        <family val="2"/>
      </rPr>
      <t xml:space="preserve">・顔を合わせたときに向けてくださる、優しいまなざしの笑顔が印象的な方です。
・色白でかわいらしい顔立ちの方です。やわらかい目元が印象的で穏やかな雰囲気をお持ちの方です。
・特に女性の場合：清楚で可愛らしい方です。温かな眼差しでお話しくださる空間が心地よく、自然とこちらまで笑顔にさせてくださる気遣いのできる方です。
・特に男性の場合：爽やかな笑顔が素敵な方です。質問に対しても丁寧にお話しくださるお姿から、誠実で温和なお人柄を感じます。
</t>
    </r>
    <r>
      <rPr>
        <sz val="11"/>
        <color theme="1"/>
        <rFont val="游ゴシック"/>
        <family val="2"/>
      </rPr>
      <t>②仕事
・現在は〇〇の仕事に就かれ、日々〇〇に取り組んでいらっしゃいます。
・お仕事は子供服の接客販売をされています。
③仕事のやりがい・職場関係
・職場では、仕事のご相談を受けることが多く、できる限り時間をつくって話に耳を傾けていらっしゃることからも、誠実なお人柄を感じました。
④趣味・休日の過ごし方
・ご趣味はアウトドアが多いそうですが、ご自宅では、料理をつくる機会が増え、色々な料理にチャレンジされていらっしゃいます。
⑤エピソード
・学生時代のご友人とは今でも親交があり、部活動で励んでいたバドミントンや避暑地でのキャンプなどを一緒に楽しまれるそうです。
⑥未来像
・ご結婚後は、「お互いの趣味を共有して、お相手と一緒に日常生活を楽しめる工夫をしていきたいです」と笑顔でお話しくださいました。</t>
    </r>
  </si>
  <si>
    <t># 文章構成
①担当者からの印象
・顔を合わせたときに向けてくださる、優しいまなざしの笑顔が印象的な方です。
・色白でかわいらしい顔立ちの方です。やわらかい目元が印象的で穏やかな雰囲気をお持ちの方です。
・特に女性の場合：清楚で可愛らしい方です。温かな眼差しでお話しくださる空間が心地よく、自然とこちらまで笑顔にさせてくださる気遣いのできる方です。
・特に男性の場合：爽やかな笑顔が素敵な方です。質問に対しても丁寧にお話しくださるお姿から、誠実で温和なお人柄を感じます。
②仕事
・現在は〇〇の仕事に就かれ、日々〇〇に取り組んでいらっしゃいます。
・お仕事は子供服の接客販売をされています。
③仕事のやりがい・職場関係
・職場では、仕事のご相談を受けることが多く、できる限り時間をつくって話に耳を傾けていらっしゃることからも、誠実なお人柄を感じました。
④趣味・休日の過ごし方
・ご趣味はアウトドアが多いそうですが、ご自宅では、料理をつくる機会が増え、色々な料理にチャレンジされていらっしゃいます。
⑤エピソード
・学生時代のご友人とは今でも親交があり、部活動で励んでいたバドミントンや避暑地でのキャンプなどを一緒に楽しまれるそうです。
⑥未来像
・ご結婚後は、「お互いの趣味を共有して、お相手と一緒に日常生活を楽しめる工夫をしていきたいです」と笑顔でお話しくださいました。</t>
  </si>
  <si>
    <r>
      <t xml:space="preserve">チェック項目
</t>
    </r>
    <r>
      <rPr>
        <b/>
        <sz val="12"/>
        <color rgb="FF000000"/>
        <rFont val="游ゴシック"/>
        <family val="2"/>
      </rPr>
      <t>（※基本ルールと同等）</t>
    </r>
  </si>
  <si>
    <t>■チェック項目
1. 400以上460文字以下で文章を生成する。※1回の改行につき1文字としてカウントすること。
2. 名前は、ファーストネームのひらがな＋様で表記する。※カタカナ・漢字はNG
3. 箇条書きと、箇条書きを平文にしたもの、2つを生成すること。
4. 箇条書きの場合、文頭は中黒「・」で統一する。
5. 話し言葉を避ける。
6. 並列表現をしない。
7. 過剰な美化語を使用しない。
8. 文末は、「ぜひお会いになってみてください」「と、お話しくださいました」「ぜひお人柄に触れてみてください」「・・・・な、家庭を築かれるでしょう」「・・・ことでしょう」をランダムに記載する
9. 上記ルールを適用するうえで文中に表現が見つからない場合は本件事項をスキップする。なおスキップした際は一番末尾にスキップしたルール番号を出力すること。スキップ項目がない場合は、何も表記しなくてよい。
除外項目：No.1 400以上460文字以下で文章を生成する。※1回の改行につき1文字としてカウントすること。</t>
  </si>
  <si>
    <r>
      <t xml:space="preserve">■チェック項目
1. 400以上460文字以下で文章を生成する。※1回の改行につき1文字としてカウントすること。
2. 名前は、ファーストネームのひらがな＋様で表記する。※カタカナ・漢字はNG
</t>
    </r>
    <r>
      <rPr>
        <sz val="11"/>
        <color rgb="FFff0000"/>
        <rFont val="游ゴシック"/>
        <family val="2"/>
      </rPr>
      <t>3. 紹介文の中に必ず名前を1回入れる。</t>
    </r>
    <r>
      <rPr>
        <sz val="11"/>
        <color rgb="FF000000"/>
        <rFont val="游ゴシック"/>
        <family val="2"/>
      </rPr>
      <t xml:space="preserve">
4. 箇条書きと、箇条書きを平文にしたもの、2つを生成すること。
5. 箇条書きの場合、文頭は中黒「・」で統一する。
</t>
    </r>
    <r>
      <rPr>
        <sz val="11"/>
        <color rgb="FFff0000"/>
        <rFont val="游ゴシック"/>
        <family val="2"/>
      </rPr>
      <t xml:space="preserve">6. 平文を生成する際、以下に記載の文章構成①～⑥に沿って、テーマごとに改行すること。ただし、改行したのち、さらに1行空けることはしない。
</t>
    </r>
    <r>
      <rPr>
        <sz val="11"/>
        <color rgb="FF000000"/>
        <rFont val="游ゴシック"/>
        <family val="2"/>
      </rPr>
      <t>7. 話し言葉を避ける。
8. 並列表現をしない。
9. 過剰な美化語を使用しない。
10. 文末は、「ぜひお会いになってみてください」「と、お話しくださいました」「ぜひお人柄に触れてみてください」「・・・・な、家庭を築かれるでしょう」「・・・ことでしょう」をランダムに記載する
11. 上記ルールを適用するうえで文中に表現が見つからない場合は本件事項をスキップする。なおスキップした際は一番末尾にスキップしたルール番号を出力すること。スキップ項目がない場合は、何も表記しなくてよい。
除外項目：No.1 400以上460文字以下で文章を生成する。※1回の改行につき1文字としてカウントすること。</t>
    </r>
  </si>
  <si>
    <r>
      <t xml:space="preserve">■チェック項目
1. 400以上460文字以下で文章を生成する。※1回の改行につき1文字としてカウントすること。
2. 名前は、ファーストネームのひらがな＋様で表記する。※カタカナ・漢字はNG
</t>
    </r>
    <r>
      <rPr>
        <sz val="11"/>
        <color rgb="FFff0000"/>
        <rFont val="游ゴシック"/>
        <family val="2"/>
      </rPr>
      <t xml:space="preserve">3. 紹介文の中に必ず名前を1回入れる。
</t>
    </r>
    <r>
      <rPr>
        <sz val="11"/>
        <color rgb="FF000000"/>
        <rFont val="游ゴシック"/>
        <family val="2"/>
      </rPr>
      <t xml:space="preserve">4. 箇条書きと、箇条書きを平文にしたもの、2つを生成すること。
5. 箇条書きの場合、文頭は中黒「・」で統一する。
</t>
    </r>
    <r>
      <rPr>
        <sz val="11"/>
        <color rgb="FFff0000"/>
        <rFont val="游ゴシック"/>
        <family val="2"/>
      </rPr>
      <t>6. 平文を生成する際、以下に記載の文章構成①～⑥に沿って、テーマごとに改行すること。</t>
    </r>
    <r>
      <rPr>
        <sz val="11"/>
        <color rgb="FF000000"/>
        <rFont val="游ゴシック"/>
        <family val="2"/>
      </rPr>
      <t xml:space="preserve">
7. 話し言葉を避ける。
8. 並列表現をしない。</t>
    </r>
    <r>
      <rPr>
        <sz val="11"/>
        <color rgb="FFff0000"/>
        <rFont val="游ゴシック"/>
        <family val="2"/>
      </rPr>
      <t>ただし、単語レベルではOK（文章レベルはNG）</t>
    </r>
    <r>
      <rPr>
        <sz val="11"/>
        <color rgb="FF000000"/>
        <rFont val="游ゴシック"/>
        <family val="2"/>
      </rPr>
      <t xml:space="preserve">
9. 過剰な美化語を使用しない。
10. 文末は、「ぜひお会いになってみてください」「と、お話しくださいました」「ぜひお人柄に触れてみてください」「・・・・な、家庭を築かれるでしょう」「・・・ことでしょう」をランダムに記載する
11. 上記ルールを適用するうえで文中に表現が見つからない場合は本件事項をスキップする。なおスキップした際は一番末尾にスキップしたルール番号を出力すること。スキップ項目がない場合は、何も表記しなくてよい。
除外項目：No.1 400以上460文字以下で文章を生成する。※1回の改行につき1文字としてカウントすること。
</t>
    </r>
    <r>
      <rPr>
        <sz val="11"/>
        <color rgb="FFff0000"/>
        <rFont val="游ゴシック"/>
        <family val="2"/>
      </rPr>
      <t>12.根拠のない創作は禁止、事実が不足する場合は、他の回答から推測できる範囲で自然に補完すること。</t>
    </r>
  </si>
  <si>
    <r>
      <t xml:space="preserve">■チェック項目
1. 400以上460文字以下で文章を生成する。※1回の改行につき1文字としてカウントすること。
2. 名前は、ファーストネームのひらがな＋様で表記する。※カタカナ・漢字はNG
</t>
    </r>
    <r>
      <rPr>
        <sz val="11"/>
        <color rgb="FFff0000"/>
        <rFont val="游ゴシック"/>
        <family val="2"/>
      </rPr>
      <t xml:space="preserve">3. 紹介文の中に必ず名前を1回入れる。
</t>
    </r>
    <r>
      <rPr>
        <sz val="11"/>
        <color rgb="FF000000"/>
        <rFont val="游ゴシック"/>
        <family val="2"/>
      </rPr>
      <t xml:space="preserve">4. 箇条書きと、箇条書きを平文にしたもの、2つを生成すること。
5. 箇条書きの場合、文頭は中黒「・」で統一する。
</t>
    </r>
    <r>
      <rPr>
        <sz val="11"/>
        <color rgb="FFff0000"/>
        <rFont val="游ゴシック"/>
        <family val="2"/>
      </rPr>
      <t>6. 平文を生成する際、以下に記載の文章構成①～⑥に沿って、テーマごとに改行すること。</t>
    </r>
    <r>
      <rPr>
        <sz val="11"/>
        <color rgb="FF000000"/>
        <rFont val="游ゴシック"/>
        <family val="2"/>
      </rPr>
      <t xml:space="preserve">
7. 話し言葉を避ける。
8. 並列表現をしない。</t>
    </r>
    <r>
      <rPr>
        <sz val="11"/>
        <color rgb="FFff0000"/>
        <rFont val="游ゴシック"/>
        <family val="2"/>
      </rPr>
      <t>ただし、単語レベルではOK（文章レベルはNG）</t>
    </r>
    <r>
      <rPr>
        <sz val="11"/>
        <color rgb="FF000000"/>
        <rFont val="游ゴシック"/>
        <family val="2"/>
      </rPr>
      <t xml:space="preserve">
9. 過剰な美化語を使用しない。
10. 文末は、「ぜひお会いになってみてください」「と、お話しくださいました」「ぜひお人柄に触れてみてください」「・・・・な、家庭を築かれるでしょう」「・・・ことでしょう」をランダムに記載する
11. 上記ルールを適用するうえで文中に表現が見つからない場合は本件事項をスキップする。なおスキップした際は一番末尾にスキップしたルール番号を出力すること。スキップ項目がない場合は、何も表記しなくてよい。
除外項目：No.1 400以上460文字以下で文章を生成する。※1回の改行につき1文字としてカウントすること。
</t>
    </r>
    <r>
      <rPr>
        <sz val="11"/>
        <color rgb="FFff0000"/>
        <rFont val="游ゴシック"/>
        <family val="2"/>
      </rPr>
      <t>12.根拠のない創作は禁止、事実が不足する場合は、他の回答から推測できる範囲で自然に補完すること。
13.各文章間は自然な接続詞や表現を用いて滑らかにつなげること
14.職業や趣味については、単なる事実の羅列ではなく、その人の価値観や人柄が伝わるように記述すること</t>
    </r>
  </si>
  <si>
    <r>
      <t xml:space="preserve">■チェック項目
</t>
    </r>
    <r>
      <rPr>
        <sz val="11"/>
        <color rgb="FFff0000"/>
        <rFont val="游ゴシック"/>
        <family val="2"/>
      </rPr>
      <t xml:space="preserve">1. 400以上～460文字以下で文章を生成する。
　・ひらがな、カタカナ、漢字、英数字、記号、スペース、1回の改行をすべて1文字とし、総文字数をカウントする。
</t>
    </r>
    <r>
      <rPr>
        <sz val="11"/>
        <color theme="1"/>
        <rFont val="游ゴシック"/>
        <family val="2"/>
      </rPr>
      <t xml:space="preserve">2. 名前は、ファーストネームのひらがな＋様で表記する。※カタカナ・漢字はNG
3. 紹介文の中に必ず名前を1回入れる。
4. 箇条書きと、箇条書きを平文化した文章の2つを生成すること。
5. 箇条書きの場合、文頭は中黒「・」で統一する。
</t>
    </r>
    <r>
      <rPr>
        <sz val="11"/>
        <color rgb="FFff0000"/>
        <rFont val="游ゴシック"/>
        <family val="2"/>
      </rPr>
      <t xml:space="preserve">6. 平文を生成する際は、箇条書きから中黒「・」とり、自然な接続詞や表現を用いて各文章間を滑らかにつなげること。
7. 平文生成時は一文ごとに改行すること。
</t>
    </r>
    <r>
      <rPr>
        <sz val="11"/>
        <color theme="1"/>
        <rFont val="游ゴシック"/>
        <family val="2"/>
      </rPr>
      <t xml:space="preserve">8. 話し言葉を避ける。
9. 並列表現をしない。ただし、単語レベルではOK（文章レベルはNG）
10. 過剰な美化語を使用しない。
11. 文末は、「ぜひお会いになってみてください」「と、お話しくださいました」「ぜひお人柄に触れてみてください」「・・・・な、家庭を築かれるでしょう」「・・・ことでしょう」をランダムに記載する
</t>
    </r>
    <r>
      <rPr>
        <sz val="11"/>
        <color rgb="FFff0000"/>
        <rFont val="游ゴシック"/>
        <family val="2"/>
      </rPr>
      <t>12.根拠のない創作は禁止。事実が不足する場合は、他の回答から推測できる範囲で自然に補完すること。
13.職業や趣味については、単なる事実の羅列ではなく、その人の価値観や人柄が伝わるように記述すること。</t>
    </r>
  </si>
  <si>
    <t>#チェック項目
1. 箇条書きも平文もどちらも440字以上～470字以下で生成すること。
　ひらがな、カタカナ、漢字、英数字、記号、スペース、1回の改行をすべて1文字とし、総文字数をカウントする。
2. 名前は、ファーストネームのひらがな＋様で表記する。※カタカナ・漢字はNG
3. 紹介文の最初に、【会員様と初めて話した時に直観的に感じた印象や雰囲気は？】と絡めて「・・・な●●様」「・・・な印象の●●様」と担当者からの印象で紹介を始める。尚、初めて話した時、などの時節説明はいらない。
4. 印象や雰囲気を記述する際、「男性です」「女性です」と表現せず、「・・・方です」「・・・をお持ちです」といった表現をランダムに記載すること。
5. 箇条書きと、箇条書きを平文化した文章の2つを生成すること。
6. 箇条書きの場合、文頭は中黒「・」で統一する。
7. 平文を生成する際は、箇条書きから中黒「・」とり、自然な接続詞を用いるが、冗長にならないように簡潔に書くこと。
8. 平文生成時は一文ごとに改行すること。
9. 話し言葉を避ける。
10. 並列表現をしない。ただし、単語レベルではOK（文章レベルはNG）
11. 過剰な美化語を使用しない。
12.職業や趣味については、単なる事実の羅列ではなく、その人の価値観や人柄が伝わるように記述すること。
13.追加質問の内容はすべてテキストに含めること
14.追加質問の【担当者目線での会員様の魅力は？】の内容がテキスト内に含められなかった場合、【会員様と初めて話した時に直観的に感じた印象や雰囲気は？】の内容とまとめて記載すること。
15.仕事や業務に関して記述する際、抽象的・ビジネス評価的な言葉（尊重、尊敬、信頼、評価、印象的、優秀、リーダーシップなど）は使わず、仕事での行動や人柄を日常的な言葉で表現すること。
16. 年齢や身長といった具体的な数字はいれないこと。
17. 最後の文章は、文末は「・・・な●●様にぜひお会いになってみてください」「・・・と、●●様はお話しくださいました」「・・・なお人柄にぜひ触れてみてください」「・・・な、家庭を築かれるでしょう」「・・・ことでしょう」をランダムに記載する</t>
  </si>
  <si>
    <r>
      <t xml:space="preserve">#チェック項目
1. 箇条書きも平文もどちらも440字以上～470字以下で生成すること。
　ひらがな、カタカナ、漢字、英数字、記号、スペース、1回の改行をすべて1文字とし、総文字数をカウントする。
</t>
    </r>
    <r>
      <rPr>
        <sz val="11"/>
        <color rgb="FFff0000"/>
        <rFont val="游ゴシック"/>
        <family val="2"/>
      </rPr>
      <t>2. 紹介文の最初に、【会員様と初めて話した時に直観的に感じた印象や雰囲気は？】と絡めて「・・・な方」「・・・な印象の方」と担当者からの印象で紹介を始める。尚、初めて話した時、などの時節説明はいらない。</t>
    </r>
    <r>
      <rPr>
        <sz val="11"/>
        <color theme="1"/>
        <rFont val="游ゴシック"/>
        <family val="2"/>
      </rPr>
      <t xml:space="preserve">
3. 印象や雰囲気を記述する際、「男性です」「女性です」と表現せず、「・・・方です」「・・・をお持ちです」といった表現をランダムに記載すること。
4. 箇条書きと、箇条書きを平文化した文章の2つを生成すること。
5. 箇条書きの場合、文頭は中黒「・」で統一する。
6. 平文を生成する際は、箇条書きから中黒「・」とり、自然な接続詞を用いるが、冗長にならないように簡潔に書くこと。
7. 平文生成時は一文ごとに改行すること。
8. 話し言葉を避ける。
9. 並列表現をしない。ただし、単語レベルではOK（文章レベルはNG）
10. 過剰な美化語を使用しない。
11.職業や趣味については、単なる事実の羅列ではなく、その人の価値観や人柄が伝わるように記述すること。
12.追加質問の内容はすべてテキストに含めること
13.追加質問の【担当者目線での会員様の魅力は？】の内容がテキスト内に含められなかった場合、【会員様と初めて話した時に直観的に感じた印象や雰囲気は？】の内容とまとめて記載すること。
14.仕事や業務に関して記述する際、抽象的・ビジネス評価的な言葉（尊重、尊敬、信頼、評価、印象的、優秀、リーダーシップなど）は使わず、仕事での行動や人柄を日常的な言葉で表現すること。
15. 年齢や身長といった具体的な数字はいれないこと。
</t>
    </r>
    <r>
      <rPr>
        <sz val="11"/>
        <color rgb="FFff0000"/>
        <rFont val="游ゴシック"/>
        <family val="2"/>
      </rPr>
      <t>16. 最後の文章は、文末は「・・・ぜひお会いになってみてください」「・・・と、お話しくださいました」「・・・なお人柄にぜひ触れてみてください」「・・・な、家庭を築かれるでしょう」「・・・ことでしょう」をランダムに記載する</t>
    </r>
  </si>
  <si>
    <r>
      <t xml:space="preserve">#チェック項目
1. 箇条書きも平文もどちらも440字以上～470字以下で生成すること。
　ひらがな、カタカナ、漢字、英数字、記号、スペース、1回の改行をすべて1文字とし、総文字数をカウントする。
2. 紹介文の最初に、【会員様と初めて話した時に直観的に感じた印象や雰囲気は？】と絡めて「・・・な方」「・・・な印象の方」と担当者からの印象で紹介を始める。尚、初めて話した時、などの時節説明はいらない。
3. 印象や雰囲気を記述する際、「男性です」「女性です」と表現せず、「・・・方です」「・・・をお持ちです」といった表現をランダムに記載すること。
4. 箇条書きと、箇条書きを平文化した文章の2つを生成すること。
5. 箇条書きの場合、文頭は中黒「・」で統一する。
6. 平文を生成する際は、箇条書きから中黒「・」とり、自然な接続詞を用いるが、冗長にならないように簡潔に書くこと。
7. 平文生成時は一文ごとに改行すること。
8. 話し言葉を避ける。
9. 並列表現をしない。ただし、単語レベルではOK（文章レベルはNG）
10. 過剰な美化語を使用しない。
11.職業や趣味については、単なる事実の羅列ではなく、その人の価値観や人柄が伝わるように記述すること。
12.追加質問の内容はすべてテキストに含めること
13.追加質問の【担当者目線での会員様の魅力は？】の内容がテキスト内に含められなかった場合、【会員様と初めて話した時に直観的に感じた印象や雰囲気は？】の内容とまとめて記載すること。
14.仕事や業務に関して記述する際、抽象的・ビジネス評価的な言葉（尊重、尊敬、信頼、評価、印象的、優秀、リーダーシップなど）は使わず、仕事での行動や人柄を日常的な言葉で表現すること。
15. 年齢や身長といった具体的な数字はいれないこと。
</t>
    </r>
    <r>
      <rPr>
        <sz val="11"/>
        <color rgb="FFff0000"/>
        <rFont val="游ゴシック"/>
        <family val="2"/>
      </rPr>
      <t>16. 名前やニックネームを表記しないこと。</t>
    </r>
    <r>
      <rPr>
        <sz val="11"/>
        <color theme="1"/>
        <rFont val="游ゴシック"/>
        <family val="2"/>
      </rPr>
      <t xml:space="preserve">
17. 最後の文章は、文末は「・・・ぜひお会いになってみてください」「・・・と、お話しくださいました」「・・・なお人柄にぜひ触れてみてください」「・・・な、家庭を築かれるでしょう」「・・・ことでしょう」をランダムに記載する</t>
    </r>
  </si>
  <si>
    <t>「基本ルール」から担当者紹介文を作成してください。
生成する際は、箇条書きの文章と平文の2つを生成すること。ただし、中身は同じものとしてください。
正しさと統一感があり信頼できる文章であり、変化があり読み手のイメージを膨らませる文章であることが望ましいです。
なお、「チェック項目」にあるすべての項目をクリアした担当者紹介文を生成すること。
■基本ルール
1. 400以上460文字以下で文章を生成する。※1回の改行につき1文字としてカウントすること。
2. 名前は、ファーストネームのひらがな＋様で表記する。※カタカナ・漢字はNG
3. 箇条書きと、箇条書きを平文にしたもの、2つを生成すること。
4. 箇条書きの場合、文頭は中黒「・」で統一する。
5. 話し言葉を避ける。
6. 並列表現をしない。
7. 過剰な美化語を使用しない。
8. 文末は、「ぜひお会いになってみてください」「と、お話しくださいました」「ぜひお人柄に触れてみてください」「・・・・な、家庭を築かれるでしょう」「・・・ことでしょう」をランダムに記載する
9. 上記ルールを適用するうえで文中に表現が見つからない場合は本件事項をスキップする。なおスキップした際は一番末尾にスキップしたルール番号を出力すること。スキップ項目がない場合は、何も表記しなくてよい。
除外項目：No.1 400以上460文字以下で文章を生成する。※1回の改行につき1文字としてカウントすること。
■文章構成
①担当者からの印象
・顔を合わせたときに向けてくださる、優しいまなざしの笑顔が印象的な●●●様。
・色白でかわいらしい顔立ちの●●●様。やわらかい目元が印象的で穏やかな雰囲気をお持ちの方です。
・特に女性の場合：・清楚で可愛らしい●●●様。温かな眼差しでお話しくださる空間が心地よく、自然とこちらまで笑顔にさせてくださる気遣いのできる女性です。
・特に男性の場合：・爽やかな笑顔が素敵な●●●様。質問に対しても丁寧にお話しくださるお姿から、誠実で温和なお人柄を感じます。
②仕事
・現在は〇〇の仕事に就かれ、日々〇〇に取り組んでいらっしゃいます。
・お仕事は子供服の接客販売をされています。"
③仕事のやりがい・職場関係
・職場では、仕事のご相談を受けることが多く、できる限り時間をつくって話に耳を傾けていらっしゃることからも、誠実なお人柄を感じました。
④趣味・休日の過ごし方
・ご趣味はアウトドアが多いそうですが、ご自宅では、料理をつくる機会が増え、色々な料理にチャレンジされていらっしゃいます。
⑤エピソード
・学生時代のご友人とは今でも親交があり、部活動で励んでいたバドミントンや避暑地でのキャンプなどを一緒に楽しまれるそうです。
⑥未来像
・ご結婚後は、「お互いの趣味を共有して、お相手と一緒に日常生活を楽しめる工夫をしていきたいです」と笑顔でお話しくださいました。
■チェック項目
1. 400以上460文字以下で文章を生成する。※1回の改行につき1文字としてカウントすること。
2. 名前は、ファーストネームのひらがな＋様で表記する。※カタカナ・漢字はNG
3. 箇条書きと、箇条書きを平文にしたもの、2つを生成すること。
4. 箇条書きの場合、文頭は中黒「・」で統一する。
5. 話し言葉を避ける。
6. 並列表現をしない。
7. 過剰な美化語を使用しない。
8. 文末は、「ぜひお会いになってみてください」「と、お話しくださいました」「ぜひお人柄に触れてみてください」「・・・・な、家庭を築かれるでしょう」「・・・ことでしょう」をランダムに記載する
9. 上記ルールを適用するうえで文中に表現が見つからない場合は本件事項をスキップする。なおスキップした際は一番末尾にスキップしたルール番号を出力すること。スキップ項目がない場合は、何も表記しなくてよい。
除外項目：No.1 400以上460文字以下で文章を生成する。※1回の改行につき1文字としてカウントすること。</t>
  </si>
  <si>
    <t>「基本ルール」「文章構成」から担当者紹介文を作成してください。
生成する際は、箇条書きの文章と平文の2つを生成すること。ただし、中身は同じものとしてください。
正しさと統一感があり信頼できる文章であること、また変化があり読み手のイメージを膨らませる文章であることが望ましいです。
なお、「チェック項目」にあるすべての項目をクリアした担当者紹介文を生成すること。
担当者紹介文を生成したのち、チェック項目に沿って出ているか、○×で答えたものも出力してください。
また、そう判断した理由も教えてください。
■基本ルール
1. 400以上～460文字以下で文章を生成する。
　・ひらがな、カタカナ、漢字、英数字、記号、スペース、1回の改行をすべて1文字とし、総文字数をカウントする。
2. 名前は、ファーストネームのひらがな＋様で表記する。※カタカナ・漢字はNG
3. 紹介文の中に必ず名前を1回入れる。
4. 箇条書きと、箇条書きを平文化した文章の2つを生成すること。
5. 箇条書きの場合、文頭は中黒「・」で統一する。
6. 平文を生成する際は、箇条書きから中黒「・」とり、自然な接続詞や表現を用いて各文章間を滑らかにつなげること。
7. 平文生成時は一文ごとに改行すること。
8. 話し言葉を避ける。
9. 並列表現をしない。ただし、単語レベルではOK（文章レベルはNG）
10. 過剰な美化語を使用しない。
11. 文末は、「ぜひお会いになってみてください」「と、お話しくださいました」「ぜひお人柄に触れてみてください」「・・・・な、家庭を築かれるでしょう」「・・・ことでしょう」をランダムに記載する
12.根拠のない創作は禁止。事実が不足する場合は、他の回答から推測できる範囲で自然に補完すること。
13.職業や趣味については、単なる事実の羅列ではなく、その人の価値観や人柄が伝わるように記述すること
■文章構成
①担当者からの印象
・顔を合わせたときに向けてくださる、優しいまなざしの笑顔が印象的な●●●様。
・色白でかわいらしい顔立ちの●●●様。やわらかい目元が印象的で穏やかな雰囲気をお持ちの方です。
・特に女性の場合：・清楚で可愛らしい●●●様。温かな眼差しでお話しくださる空間が心地よく、自然とこちらまで笑顔にさせてくださる気遣いのできる女性です。
・特に男性の場合：・爽やかな笑顔が素敵な●●●様。質問に対しても丁寧にお話しくださるお姿から、誠実で温和なお人柄を感じます。
②仕事
・現在は〇〇の仕事に就かれ、日々〇〇に取り組んでいらっしゃいます。
・お仕事は子供服の接客販売をされています。""
③仕事のやりがい・職場関係
・職場では、仕事のご相談を受けることが多く、できる限り時間をつくって話に耳を傾けていらっしゃることからも、誠実なお人柄を感じました。
④趣味・休日の過ごし方
・ご趣味はアウトドアが多いそうですが、ご自宅では、料理をつくる機会が増え、色々な料理にチャレンジされていらっしゃいます。
⑤エピソード
・学生時代のご友人とは今でも親交があり、部活動で励んでいたバドミントンや避暑地でのキャンプなどを一緒に楽しまれるそうです。
⑥未来像
・ご結婚後は、「お互いの趣味を共有して、お相手と一緒に日常生活を楽しめる工夫をしていきたいです」と笑顔でお話しくださいました。
■チェック項目
1. 400以上～460文字以下で文章を生成する。
　・ひらがな、カタカナ、漢字、英数字、記号、スペース、1回の改行をすべて1文字とし、総文字数をカウントする。
2. 名前は、ファーストネームのひらがな＋様で表記する。※カタカナ・漢字はNG
3. 紹介文の中に必ず名前を1回入れる。
4. 箇条書きと、箇条書きを平文化した文章の2つを生成すること。
5. 箇条書きの場合、文頭は中黒「・」で統一する。
6. 平文を生成する際は、箇条書きから中黒「・」とり、自然な接続詞や表現を用いて各文章間を滑らかにつなげること。
7. 平文生成時は一文ごとに改行すること。
8. 話し言葉を避ける。
9. 並列表現をしない。ただし、単語レベルではOK（文章レベルはNG）
10. 過剰な美化語を使用しない。
11. 文末は、「ぜひお会いになってみてください」「と、お話しくださいました」「ぜひお人柄に触れてみてください」「・・・・な、家庭を築かれるでしょう」「・・・ことでしょう」をランダムに記載する
12.根拠のない創作は禁止。事実が不足する場合は、他の回答から推測できる範囲で自然に補完すること。
13.職業や趣味については、単なる事実の羅列ではなく、その人の価値観や人柄が伝わるように記述すること。</t>
  </si>
  <si>
    <t>作成日</t>
  </si>
  <si>
    <t>備考</t>
  </si>
  <si>
    <t>※名前を1回以上含めるルールを設けました
※平文を作成する際のルールを追加しました</t>
  </si>
  <si>
    <t>※導入部：根拠の薄い創作を禁止しました
※８：並列表現において、文章はNG（単語はOK）を明記しました</t>
  </si>
  <si>
    <t>※13：平文のとぎれとぎれ感が気になり、「各文章間は自然な接続詞や表現を用いて滑らかにつなげる」を追加（平文は順番通りでなくてよいとするならばもう少し指示ができるが、今回はせず）
※14：職業や趣味について、事実の羅列が多かったため、具体性と個性を強調できるよう追加指示</t>
  </si>
  <si>
    <t>※基本ルールにおいて、「上記ルールを適用するうえで文中に表現が見つからない場合は本件事項をスキップする。なおスキップした際は一番末尾にスキップしたルール番号を出力すること。スキップ項目がない場合は、何も表記しなくてよい。」の指示を入れているが、実際に再チェックすると×なのに何も出力しないといった問題が起きているため、チェック項目で改めて結果を出させることにしました。
※チェック項目も同様に、上記の一文を消し、最後に○×結果を出させるようにしました。
※文字数のカウント方法について詳細な記述をいれました。
※平文生成時に不要な改行をいれてしまうため、箇条書きの「・」を抜く指示にしました。
※平文生成時のみ、文章のつながりが自然になるように指示をいれました。
※平文生成時、一文ごとに改行するように指示を入れました。</t>
  </si>
  <si>
    <t>※文字数の指示を460文字ぴったりで出すように調整しました。
※追加質問の内容をすべてテキストに含める指示を追加しました。（12）
※追加質問の「担当者目線での会員様の魅力については、二重にテキスト化指示の追加をしました。（13）
※仕事に関して記述する際、評価されています、頼りにされる存在、信頼されていますといった記述はしないように指示を入れました。尊敬なども含め、ビジネス評価的な言葉を使わないよう重ねて指示を追加しました、（14）
※最後の締めが唐突に締め言葉だけで箇条書きされることがあったため、詳細指示（16）
※長くなりすぎたため、チェック項目を削除し、基本ルールでチェックしてもらう旨指示</t>
  </si>
  <si>
    <t>※「男性です」「女性です」という表現をやめ、「方です」「・・・をお持ちです」をランダムに記載するように指示しました。（4）</t>
  </si>
  <si>
    <t>名前が入るエリア（●●）に関する記述をすべて削除しました。</t>
  </si>
  <si>
    <t>16. 名前やニックネームを表記しないこと。を新たに追加しました。</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</si>
</sst>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0" x14ac:knownFonts="1">
    <font>
      <sz val="11"/>
      <color theme="1"/>
      <name val="Calibri"/>
      <family val="2"/>
      <scheme val="minor"/>
    </font>
    <font>
      <b/>
      <sz val="20"/>
      <color rgb="FF000000"/>
      <name val="游ゴシック"/>
      <family val="2"/>
    </font>
    <font>
      <sz val="20"/>
      <color rgb="FF000000"/>
      <name val="游ゴシック"/>
      <family val="2"/>
    </font>
    <font>
      <b/>
      <sz val="16"/>
      <color rgb="FF000000"/>
      <name val="游ゴシック"/>
      <family val="2"/>
    </font>
    <font>
      <b/>
      <sz val="14"/>
      <color rgb="FF000000"/>
      <name val="游ゴシック"/>
      <family val="2"/>
    </font>
    <font>
      <sz val="11"/>
      <color theme="1"/>
      <name val="游ゴシック"/>
      <family val="2"/>
    </font>
    <font>
      <sz val="11"/>
      <color theme="1"/>
      <name val="Calibri"/>
      <family val="2"/>
    </font>
    <font>
      <sz val="11"/>
      <color rgb="FF000000"/>
      <name val="游ゴシック"/>
      <family val="2"/>
    </font>
    <font>
      <b/>
      <sz val="11"/>
      <color rgb="FF000000"/>
      <name val="游ゴシック"/>
      <family val="2"/>
    </font>
    <font>
      <sz val="11"/>
      <color rgb="FFff0000"/>
      <name val="游ゴシック"/>
      <family val="2"/>
    </font>
  </fonts>
  <fills count="8">
    <fill>
      <patternFill patternType="none"/>
    </fill>
    <fill>
      <patternFill patternType="gray125"/>
    </fill>
    <fill>
      <patternFill patternType="solid">
        <fgColor rgb="FFf2f2f2"/>
      </patternFill>
    </fill>
    <fill>
      <patternFill patternType="solid">
        <fgColor rgb="FFdeebf7"/>
      </patternFill>
    </fill>
    <fill>
      <patternFill patternType="solid">
        <fgColor rgb="FFfff2cc"/>
      </patternFill>
    </fill>
    <fill>
      <patternFill patternType="solid">
        <fgColor rgb="FFdae3f3"/>
      </patternFill>
    </fill>
    <fill>
      <patternFill patternType="solid">
        <fgColor rgb="FFd0cece"/>
      </patternFill>
    </fill>
    <fill>
      <patternFill patternType="solid">
        <fgColor rgb="FFffff00"/>
      </patternFill>
    </fill>
  </fills>
  <borders count="24">
    <border>
      <left/>
      <right/>
      <top/>
      <bottom/>
      <diagonal/>
    </border>
    <border>
      <left/>
      <right/>
      <top/>
      <bottom/>
      <diagonal/>
    </border>
    <border>
      <left style="thin">
        <color rgb="FF000000"/>
      </left>
      <right style="thin">
        <color rgb="FFc6c6c6"/>
      </right>
      <top style="thin">
        <color rgb="FF000000"/>
      </top>
      <bottom style="thin">
        <color rgb="FF000000"/>
      </bottom>
      <diagonal/>
    </border>
    <border>
      <left style="thin">
        <color rgb="FFc6c6c6"/>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c6c6c6"/>
      </right>
      <top style="thin">
        <color rgb="FF000000"/>
      </top>
      <bottom style="thin">
        <color rgb="FFc6c6c6"/>
      </bottom>
      <diagonal/>
    </border>
    <border>
      <left style="thin">
        <color rgb="FFc6c6c6"/>
      </left>
      <right style="thin">
        <color rgb="FF000000"/>
      </right>
      <top style="thin">
        <color rgb="FF000000"/>
      </top>
      <bottom style="thin">
        <color rgb="FFc6c6c6"/>
      </bottom>
      <diagonal/>
    </border>
    <border>
      <left style="thin">
        <color rgb="FF000000"/>
      </left>
      <right style="thin">
        <color rgb="FF000000"/>
      </right>
      <top style="thin">
        <color rgb="FF000000"/>
      </top>
      <bottom/>
      <diagonal/>
    </border>
    <border>
      <left style="thin">
        <color rgb="FF000000"/>
      </left>
      <right style="thin">
        <color rgb="FFc6c6c6"/>
      </right>
      <top style="thin">
        <color rgb="FFc6c6c6"/>
      </top>
      <bottom style="thin">
        <color rgb="FFc6c6c6"/>
      </bottom>
      <diagonal/>
    </border>
    <border>
      <left style="thin">
        <color rgb="FFc6c6c6"/>
      </left>
      <right style="thin">
        <color rgb="FF000000"/>
      </right>
      <top style="thin">
        <color rgb="FFc6c6c6"/>
      </top>
      <bottom style="thin">
        <color rgb="FFc6c6c6"/>
      </bottom>
      <diagonal/>
    </border>
    <border>
      <left style="thin">
        <color rgb="FF000000"/>
      </left>
      <right style="thin">
        <color rgb="FF000000"/>
      </right>
      <top/>
      <bottom/>
      <diagonal/>
    </border>
    <border>
      <left style="thin">
        <color rgb="FF000000"/>
      </left>
      <right style="thin">
        <color rgb="FFc6c6c6"/>
      </right>
      <top style="thin">
        <color rgb="FFc6c6c6"/>
      </top>
      <bottom style="thin">
        <color rgb="FF000000"/>
      </bottom>
      <diagonal/>
    </border>
    <border>
      <left style="thin">
        <color rgb="FFc6c6c6"/>
      </left>
      <right style="thin">
        <color rgb="FF000000"/>
      </right>
      <top style="thin">
        <color rgb="FFc6c6c6"/>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c6c6c6"/>
      </top>
      <bottom style="thin">
        <color rgb="FF000000"/>
      </bottom>
      <diagonal/>
    </border>
    <border>
      <left style="thin">
        <color rgb="FF000000"/>
      </left>
      <right style="thin">
        <color rgb="FF000000"/>
      </right>
      <top style="thin">
        <color rgb="FF000000"/>
      </top>
      <bottom style="thin">
        <color rgb="FFc6c6c6"/>
      </bottom>
      <diagonal/>
    </border>
    <border>
      <left style="thin">
        <color rgb="FF000000"/>
      </left>
      <right style="thin">
        <color rgb="FFc6c6c6"/>
      </right>
      <top style="thin">
        <color rgb="FF000000"/>
      </top>
      <bottom style="double">
        <color rgb="FF000000"/>
      </bottom>
      <diagonal/>
    </border>
    <border>
      <left style="thin">
        <color rgb="FFc6c6c6"/>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style="thin">
        <color rgb="FFc6c6c6"/>
      </top>
      <bottom style="thin">
        <color rgb="FFc6c6c6"/>
      </bottom>
      <diagonal/>
    </border>
    <border>
      <left style="thin">
        <color rgb="FF000000"/>
      </left>
      <right style="thin">
        <color rgb="FF000000"/>
      </right>
      <top style="thin">
        <color rgb="FFc6c6c6"/>
      </top>
      <bottom style="double">
        <color rgb="FF000000"/>
      </bottom>
      <diagonal/>
    </border>
    <border>
      <left style="thin">
        <color rgb="FF000000"/>
      </left>
      <right style="thin">
        <color rgb="FF000000"/>
      </right>
      <top style="double">
        <color rgb="FF000000"/>
      </top>
      <bottom style="thin">
        <color rgb="FFc6c6c6"/>
      </bottom>
      <diagonal/>
    </border>
    <border>
      <left style="thin">
        <color rgb="FF000000"/>
      </left>
      <right style="thin">
        <color rgb="FF000000"/>
      </right>
      <top style="double">
        <color rgb="FF000000"/>
      </top>
      <bottom style="thin">
        <color rgb="FF000000"/>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105">
    <xf xfId="0" numFmtId="0" borderId="0" fontId="0" fillId="0"/>
    <xf xfId="0" numFmtId="0" borderId="1" applyBorder="1" fontId="1" applyFont="1" fillId="0" applyAlignment="1">
      <alignment horizontal="left"/>
    </xf>
    <xf xfId="0" numFmtId="3" applyNumberFormat="1" borderId="1" applyBorder="1" fontId="2" applyFont="1" fillId="0" applyAlignment="1">
      <alignment horizontal="left"/>
    </xf>
    <xf xfId="0" numFmtId="3" applyNumberFormat="1" borderId="0" fontId="0" fillId="0" applyAlignment="1">
      <alignment horizontal="right"/>
    </xf>
    <xf xfId="0" numFmtId="0" borderId="0" fontId="0" fillId="0" applyAlignment="1">
      <alignment horizontal="left"/>
    </xf>
    <xf xfId="0" numFmtId="0" borderId="0" fontId="0" fillId="0" applyAlignment="1">
      <alignment horizontal="general"/>
    </xf>
    <xf xfId="0" numFmtId="0" borderId="1" applyBorder="1" fontId="3" applyFont="1" fillId="0" applyAlignment="1">
      <alignment horizontal="left"/>
    </xf>
    <xf xfId="0" numFmtId="0" borderId="2" applyBorder="1" fontId="4" applyFont="1" fillId="2" applyFill="1" applyAlignment="1">
      <alignment horizontal="left"/>
    </xf>
    <xf xfId="0" numFmtId="0" borderId="3" applyBorder="1" fontId="4" applyFont="1" fillId="2" applyFill="1" applyAlignment="1">
      <alignment horizontal="left"/>
    </xf>
    <xf xfId="0" numFmtId="3" applyNumberFormat="1" borderId="4" applyBorder="1" fontId="5" applyFont="1" fillId="0" applyAlignment="1">
      <alignment horizontal="left"/>
    </xf>
    <xf xfId="0" numFmtId="0" borderId="5" applyBorder="1" fontId="4" applyFont="1" fillId="2" applyFill="1" applyAlignment="1">
      <alignment horizontal="left" vertical="top"/>
    </xf>
    <xf xfId="0" numFmtId="0" borderId="6" applyBorder="1" fontId="4" applyFont="1" fillId="2" applyFill="1" applyAlignment="1">
      <alignment horizontal="left"/>
    </xf>
    <xf xfId="0" numFmtId="3" applyNumberFormat="1" borderId="7" applyBorder="1" fontId="6" applyFont="1" fillId="0" applyAlignment="1">
      <alignment horizontal="left" vertical="top" wrapText="1"/>
    </xf>
    <xf xfId="0" numFmtId="0" borderId="8" applyBorder="1" fontId="4" applyFont="1" fillId="2" applyFill="1" applyAlignment="1">
      <alignment horizontal="left"/>
    </xf>
    <xf xfId="0" numFmtId="0" borderId="9" applyBorder="1" fontId="4" applyFont="1" fillId="2" applyFill="1" applyAlignment="1">
      <alignment horizontal="left"/>
    </xf>
    <xf xfId="0" numFmtId="3" applyNumberFormat="1" borderId="10" applyBorder="1" fontId="6" applyFont="1" fillId="0" applyAlignment="1">
      <alignment horizontal="left" wrapText="1"/>
    </xf>
    <xf xfId="0" numFmtId="0" borderId="11" applyBorder="1" fontId="4" applyFont="1" fillId="2" applyFill="1" applyAlignment="1">
      <alignment horizontal="left"/>
    </xf>
    <xf xfId="0" numFmtId="0" borderId="12" applyBorder="1" fontId="4" applyFont="1" fillId="2" applyFill="1" applyAlignment="1">
      <alignment horizontal="left"/>
    </xf>
    <xf xfId="0" numFmtId="3" applyNumberFormat="1" borderId="13" applyBorder="1" fontId="6" applyFont="1" fillId="0" applyAlignment="1">
      <alignment horizontal="left" wrapText="1"/>
    </xf>
    <xf xfId="0" numFmtId="0" borderId="4" applyBorder="1" fontId="4" applyFont="1" fillId="2" applyFill="1" applyAlignment="1">
      <alignment horizontal="left"/>
    </xf>
    <xf xfId="0" numFmtId="3" applyNumberFormat="1" borderId="4" applyBorder="1" fontId="6" applyFont="1" fillId="0" applyAlignment="1">
      <alignment horizontal="left" wrapText="1"/>
    </xf>
    <xf xfId="0" numFmtId="3" applyNumberFormat="1" borderId="4" applyBorder="1" fontId="7" applyFont="1" fillId="0" applyAlignment="1">
      <alignment horizontal="left"/>
    </xf>
    <xf xfId="0" numFmtId="0" borderId="4" applyBorder="1" fontId="4" applyFont="1" fillId="2" applyFill="1" applyAlignment="1">
      <alignment horizontal="left" vertical="top"/>
    </xf>
    <xf xfId="0" numFmtId="3" applyNumberFormat="1" borderId="4" applyBorder="1" fontId="7" applyFont="1" fillId="0" applyAlignment="1">
      <alignment horizontal="left" wrapText="1"/>
    </xf>
    <xf xfId="0" numFmtId="3" applyNumberFormat="1" borderId="7" applyBorder="1" fontId="7" applyFont="1" fillId="0" applyAlignment="1">
      <alignment horizontal="left" wrapText="1"/>
    </xf>
    <xf xfId="0" numFmtId="0" borderId="5" applyBorder="1" fontId="4" applyFont="1" fillId="2" applyFill="1" applyAlignment="1">
      <alignment horizontal="left"/>
    </xf>
    <xf xfId="0" numFmtId="3" applyNumberFormat="1" borderId="7" applyBorder="1" fontId="6" applyFont="1" fillId="0" applyAlignment="1">
      <alignment horizontal="left" wrapText="1"/>
    </xf>
    <xf xfId="0" numFmtId="0" borderId="0" fontId="0" fillId="0" applyAlignment="1">
      <alignment wrapText="1"/>
    </xf>
    <xf xfId="0" numFmtId="0" borderId="4" applyBorder="1" fontId="4" applyFont="1" fillId="3" applyFill="1" applyAlignment="1">
      <alignment horizontal="left" vertical="top" wrapText="1"/>
    </xf>
    <xf xfId="0" numFmtId="0" borderId="4" applyBorder="1" fontId="4" applyFont="1" fillId="3" applyFill="1" applyAlignment="1">
      <alignment horizontal="left" wrapText="1"/>
    </xf>
    <xf xfId="0" numFmtId="0" borderId="14" applyBorder="1" fontId="4" applyFont="1" fillId="4" applyFill="1" applyAlignment="1">
      <alignment horizontal="left" vertical="top"/>
    </xf>
    <xf xfId="0" numFmtId="0" borderId="14" applyBorder="1" fontId="4" applyFont="1" fillId="4" applyFill="1" applyAlignment="1">
      <alignment horizontal="left" wrapText="1"/>
    </xf>
    <xf xfId="0" numFmtId="0" borderId="4" applyBorder="1" fontId="4" applyFont="1" fillId="4" applyFill="1" applyAlignment="1">
      <alignment horizontal="left"/>
    </xf>
    <xf xfId="0" numFmtId="0" borderId="4" applyBorder="1" fontId="4" applyFont="1" fillId="4" applyFill="1" applyAlignment="1">
      <alignment horizontal="left" wrapText="1"/>
    </xf>
    <xf xfId="0" numFmtId="0" borderId="2" applyBorder="1" fontId="4" applyFont="1" fillId="4" applyFill="1" applyAlignment="1">
      <alignment horizontal="left"/>
    </xf>
    <xf xfId="0" numFmtId="0" borderId="3" applyBorder="1" fontId="4" applyFont="1" fillId="4" applyFill="1" applyAlignment="1">
      <alignment horizontal="left"/>
    </xf>
    <xf xfId="0" numFmtId="3" applyNumberFormat="1" borderId="4" applyBorder="1" fontId="7" applyFont="1" fillId="0" applyAlignment="1">
      <alignment horizontal="right"/>
    </xf>
    <xf xfId="0" numFmtId="0" borderId="15" applyBorder="1" fontId="8" applyFont="1" fillId="4" applyFill="1" applyAlignment="1">
      <alignment horizontal="left" vertical="top"/>
    </xf>
    <xf xfId="0" numFmtId="0" borderId="4" applyBorder="1" fontId="8" applyFont="1" fillId="4" applyFill="1" applyAlignment="1">
      <alignment horizontal="left"/>
    </xf>
    <xf xfId="0" numFmtId="3" applyNumberFormat="1" borderId="4" applyBorder="1" fontId="6" applyFont="1" fillId="0" applyAlignment="1">
      <alignment horizontal="right"/>
    </xf>
    <xf xfId="0" numFmtId="3" applyNumberFormat="1" borderId="4" applyBorder="1" fontId="5" applyFont="1" fillId="0" applyAlignment="1">
      <alignment horizontal="right"/>
    </xf>
    <xf xfId="0" numFmtId="0" borderId="14" applyBorder="1" fontId="8" applyFont="1" fillId="4" applyFill="1" applyAlignment="1">
      <alignment horizontal="left"/>
    </xf>
    <xf xfId="0" numFmtId="0" borderId="1" applyBorder="1" fontId="7" applyFont="1" fillId="0" applyAlignment="1">
      <alignment horizontal="left"/>
    </xf>
    <xf xfId="0" numFmtId="3" applyNumberFormat="1" borderId="1" applyBorder="1" fontId="5" applyFont="1" fillId="0" applyAlignment="1">
      <alignment horizontal="left"/>
    </xf>
    <xf xfId="0" numFmtId="3" applyNumberFormat="1" borderId="4" applyBorder="1" fontId="4" applyFont="1" fillId="0" applyAlignment="1">
      <alignment horizontal="left"/>
    </xf>
    <xf xfId="0" numFmtId="0" borderId="4" applyBorder="1" fontId="4" applyFont="1" fillId="3" applyFill="1" applyAlignment="1">
      <alignment horizontal="left" vertical="top"/>
    </xf>
    <xf xfId="0" numFmtId="3" applyNumberFormat="1" borderId="4" applyBorder="1" fontId="6" applyFont="1" fillId="0" applyAlignment="1">
      <alignment horizontal="left"/>
    </xf>
    <xf xfId="0" numFmtId="0" borderId="4" applyBorder="1" fontId="4" applyFont="1" fillId="3" applyFill="1" applyAlignment="1">
      <alignment horizontal="left"/>
    </xf>
    <xf xfId="0" numFmtId="0" borderId="0" fontId="0" fillId="0" applyAlignment="1">
      <alignment horizontal="left"/>
    </xf>
    <xf xfId="0" numFmtId="0" borderId="0" fontId="0" fillId="0" applyAlignment="1">
      <alignment horizontal="general"/>
    </xf>
    <xf xfId="0" numFmtId="3" applyNumberFormat="1" borderId="0" fontId="0" fillId="0" applyAlignment="1">
      <alignment horizontal="right"/>
    </xf>
    <xf xfId="0" numFmtId="3" applyNumberFormat="1" borderId="13" applyBorder="1" fontId="7" applyFont="1" fillId="0" applyAlignment="1">
      <alignment horizontal="left"/>
    </xf>
    <xf xfId="0" numFmtId="3" applyNumberFormat="1" borderId="0" fontId="0" fillId="0" applyAlignment="1">
      <alignment horizontal="general"/>
    </xf>
    <xf xfId="0" numFmtId="3" applyNumberFormat="1" borderId="4" applyBorder="1" fontId="5" applyFont="1" fillId="2" applyFill="1" applyAlignment="1">
      <alignment horizontal="left"/>
    </xf>
    <xf xfId="0" numFmtId="3" applyNumberFormat="1" borderId="7" applyBorder="1" fontId="5" applyFont="1" fillId="0" applyAlignment="1">
      <alignment horizontal="left" vertical="top" wrapText="1"/>
    </xf>
    <xf xfId="0" numFmtId="3" applyNumberFormat="1" borderId="10" applyBorder="1" fontId="5" applyFont="1" fillId="0" applyAlignment="1">
      <alignment horizontal="left" wrapText="1"/>
    </xf>
    <xf xfId="0" numFmtId="3" applyNumberFormat="1" borderId="13" applyBorder="1" fontId="5" applyFont="1" fillId="0" applyAlignment="1">
      <alignment horizontal="left" wrapText="1"/>
    </xf>
    <xf xfId="0" numFmtId="3" applyNumberFormat="1" borderId="0" fontId="0" fillId="0" applyAlignment="1">
      <alignment horizontal="general"/>
    </xf>
    <xf xfId="0" numFmtId="0" borderId="16" applyBorder="1" fontId="4" applyFont="1" fillId="2" applyFill="1" applyAlignment="1">
      <alignment horizontal="left"/>
    </xf>
    <xf xfId="0" numFmtId="0" borderId="17" applyBorder="1" fontId="4" applyFont="1" fillId="2" applyFill="1" applyAlignment="1">
      <alignment horizontal="left"/>
    </xf>
    <xf xfId="0" numFmtId="3" applyNumberFormat="1" borderId="18" applyBorder="1" fontId="6" applyFont="1" fillId="0" applyAlignment="1">
      <alignment horizontal="left" wrapText="1"/>
    </xf>
    <xf xfId="0" numFmtId="3" applyNumberFormat="1" borderId="18" applyBorder="1" fontId="7" applyFont="1" fillId="0" applyAlignment="1">
      <alignment horizontal="left" wrapText="1"/>
    </xf>
    <xf xfId="0" numFmtId="0" borderId="19" applyBorder="1" fontId="4" applyFont="1" fillId="3" applyFill="1" applyAlignment="1">
      <alignment horizontal="left" vertical="top"/>
    </xf>
    <xf xfId="0" numFmtId="0" borderId="14" applyBorder="1" fontId="4" applyFont="1" fillId="3" applyFill="1" applyAlignment="1">
      <alignment horizontal="left" wrapText="1"/>
    </xf>
    <xf xfId="0" numFmtId="3" applyNumberFormat="1" borderId="13" applyBorder="1" fontId="6" applyFont="1" fillId="0" applyAlignment="1">
      <alignment horizontal="left"/>
    </xf>
    <xf xfId="0" numFmtId="0" borderId="19" applyBorder="1" fontId="4" applyFont="1" fillId="3" applyFill="1" applyAlignment="1">
      <alignment horizontal="left"/>
    </xf>
    <xf xfId="0" numFmtId="0" borderId="20" applyBorder="1" fontId="4" applyFont="1" fillId="3" applyFill="1" applyAlignment="1">
      <alignment horizontal="left"/>
    </xf>
    <xf xfId="0" numFmtId="0" borderId="20" applyBorder="1" fontId="4" applyFont="1" fillId="3" applyFill="1" applyAlignment="1">
      <alignment horizontal="left" wrapText="1"/>
    </xf>
    <xf xfId="0" numFmtId="3" applyNumberFormat="1" borderId="18" applyBorder="1" fontId="7" applyFont="1" fillId="0" applyAlignment="1">
      <alignment horizontal="left"/>
    </xf>
    <xf xfId="0" numFmtId="3" applyNumberFormat="1" borderId="4" applyBorder="1" fontId="4" applyFont="1" fillId="2" applyFill="1" applyAlignment="1">
      <alignment horizontal="left"/>
    </xf>
    <xf xfId="0" numFmtId="0" borderId="21" applyBorder="1" fontId="4" applyFont="1" fillId="3" applyFill="1" applyAlignment="1">
      <alignment horizontal="left" vertical="top"/>
    </xf>
    <xf xfId="0" numFmtId="3" applyNumberFormat="1" borderId="22" applyBorder="1" fontId="6" applyFont="1" fillId="0" applyAlignment="1">
      <alignment horizontal="left"/>
    </xf>
    <xf xfId="0" numFmtId="0" borderId="22" applyBorder="1" fontId="4" applyFont="1" fillId="3" applyFill="1" applyAlignment="1">
      <alignment horizontal="left" wrapText="1"/>
    </xf>
    <xf xfId="0" numFmtId="0" borderId="18" applyBorder="1" fontId="4" applyFont="1" fillId="3" applyFill="1" applyAlignment="1">
      <alignment horizontal="left" wrapText="1"/>
    </xf>
    <xf xfId="0" numFmtId="0" borderId="1" applyBorder="1" fontId="6" applyFont="1" fillId="0" applyAlignment="1">
      <alignment horizontal="left"/>
    </xf>
    <xf xfId="0" numFmtId="0" borderId="4" applyBorder="1" fontId="6" applyFont="1" fillId="0" applyAlignment="1">
      <alignment horizontal="left" wrapText="1"/>
    </xf>
    <xf xfId="0" numFmtId="0" borderId="4" applyBorder="1" fontId="4" applyFont="1" fillId="5" applyFill="1" applyAlignment="1">
      <alignment horizontal="left" vertical="top"/>
    </xf>
    <xf xfId="0" numFmtId="0" borderId="4" applyBorder="1" fontId="6" applyFont="1" fillId="0" applyAlignment="1">
      <alignment horizontal="left" vertical="top" wrapText="1"/>
    </xf>
    <xf xfId="0" numFmtId="0" borderId="4" applyBorder="1" fontId="4" applyFont="1" fillId="5" applyFill="1" applyAlignment="1">
      <alignment horizontal="left"/>
    </xf>
    <xf xfId="0" numFmtId="0" borderId="23" applyBorder="1" fontId="1" applyFont="1" fillId="6" applyFill="1" applyAlignment="1">
      <alignment horizontal="left"/>
    </xf>
    <xf xfId="0" numFmtId="0" borderId="23" applyBorder="1" fontId="6" applyFont="1" fillId="6" applyFill="1" applyAlignment="1">
      <alignment horizontal="left"/>
    </xf>
    <xf xfId="0" numFmtId="0" borderId="23" applyBorder="1" fontId="3" applyFont="1" fillId="6" applyFill="1" applyAlignment="1">
      <alignment horizontal="left"/>
    </xf>
    <xf xfId="0" numFmtId="0" borderId="4" applyBorder="1" fontId="4" applyFont="1" fillId="6" applyFill="1" applyAlignment="1">
      <alignment horizontal="left"/>
    </xf>
    <xf xfId="0" numFmtId="0" borderId="4" applyBorder="1" fontId="6" applyFont="1" fillId="6" applyFill="1" applyAlignment="1">
      <alignment horizontal="left" wrapText="1"/>
    </xf>
    <xf xfId="0" numFmtId="14" applyNumberFormat="1" borderId="0" fontId="0" fillId="0" applyAlignment="1">
      <alignment horizontal="general"/>
    </xf>
    <xf xfId="0" numFmtId="0" borderId="2" applyBorder="1" fontId="3" applyFont="1" fillId="2" applyFill="1" applyAlignment="1">
      <alignment horizontal="left"/>
    </xf>
    <xf xfId="0" numFmtId="14" applyNumberFormat="1" borderId="4" applyBorder="1" fontId="3" applyFont="1" fillId="2" applyFill="1" applyAlignment="1">
      <alignment horizontal="left"/>
    </xf>
    <xf xfId="0" numFmtId="14" applyNumberFormat="1" borderId="4" applyBorder="1" fontId="3" applyFont="1" fillId="7" applyFill="1" applyAlignment="1">
      <alignment horizontal="left"/>
    </xf>
    <xf xfId="0" numFmtId="0" borderId="15" applyBorder="1" fontId="3" applyFont="1" fillId="2" applyFill="1" applyAlignment="1">
      <alignment horizontal="left" vertical="top" wrapText="1"/>
    </xf>
    <xf xfId="0" numFmtId="14" applyNumberFormat="1" borderId="7" applyBorder="1" fontId="6" applyFont="1" fillId="0" applyAlignment="1">
      <alignment horizontal="left" vertical="top" wrapText="1"/>
    </xf>
    <xf xfId="0" numFmtId="14" applyNumberFormat="1" borderId="7" applyBorder="1" fontId="7" applyFont="1" fillId="0" applyAlignment="1">
      <alignment horizontal="left" vertical="top" wrapText="1"/>
    </xf>
    <xf xfId="0" numFmtId="14" applyNumberFormat="1" borderId="7" applyBorder="1" fontId="5" applyFont="1" fillId="0" applyAlignment="1">
      <alignment horizontal="left" vertical="top" wrapText="1"/>
    </xf>
    <xf xfId="0" numFmtId="0" borderId="14" applyBorder="1" fontId="3" applyFont="1" fillId="2" applyFill="1" applyAlignment="1">
      <alignment horizontal="left" wrapText="1"/>
    </xf>
    <xf xfId="0" numFmtId="14" applyNumberFormat="1" borderId="13" applyBorder="1" fontId="6" applyFont="1" fillId="0" applyAlignment="1">
      <alignment horizontal="left" wrapText="1"/>
    </xf>
    <xf xfId="0" numFmtId="14" applyNumberFormat="1" borderId="13" applyBorder="1" fontId="5" applyFont="1" fillId="0" applyAlignment="1">
      <alignment horizontal="left" wrapText="1"/>
    </xf>
    <xf xfId="0" numFmtId="0" borderId="4" applyBorder="1" fontId="3" applyFont="1" fillId="2" applyFill="1" applyAlignment="1">
      <alignment horizontal="left" wrapText="1"/>
    </xf>
    <xf xfId="0" numFmtId="14" applyNumberFormat="1" borderId="4" applyBorder="1" fontId="6" applyFont="1" fillId="0" applyAlignment="1">
      <alignment horizontal="left" wrapText="1"/>
    </xf>
    <xf xfId="0" numFmtId="14" applyNumberFormat="1" borderId="4" applyBorder="1" fontId="5" applyFont="1" fillId="0" applyAlignment="1">
      <alignment horizontal="left" wrapText="1"/>
    </xf>
    <xf xfId="0" numFmtId="14" applyNumberFormat="1" borderId="4" applyBorder="1" fontId="9" applyFont="1" fillId="0" applyAlignment="1">
      <alignment horizontal="left" wrapText="1"/>
    </xf>
    <xf xfId="0" numFmtId="0" borderId="19" applyBorder="1" fontId="3" applyFont="1" fillId="2" applyFill="1" applyAlignment="1">
      <alignment horizontal="left" wrapText="1"/>
    </xf>
    <xf xfId="0" numFmtId="14" applyNumberFormat="1" borderId="10" applyBorder="1" fontId="6" applyFont="1" fillId="0" applyAlignment="1">
      <alignment horizontal="left" wrapText="1"/>
    </xf>
    <xf xfId="0" numFmtId="14" applyNumberFormat="1" borderId="10" applyBorder="1" fontId="5" applyFont="1" fillId="0" applyAlignment="1">
      <alignment horizontal="left" wrapText="1"/>
    </xf>
    <xf xfId="0" numFmtId="14" applyNumberFormat="1" borderId="4" applyBorder="1" fontId="6" applyFont="1" fillId="0" applyAlignment="1">
      <alignment horizontal="left"/>
    </xf>
    <xf xfId="0" numFmtId="14" applyNumberFormat="1" borderId="4" applyBorder="1" fontId="5" applyFont="1" fillId="0" applyAlignment="1">
      <alignment horizontal="left"/>
    </xf>
    <xf xfId="0" numFmtId="14"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sharedStrings.xml" Type="http://schemas.openxmlformats.org/officeDocument/2006/relationships/sharedStrings" Id="rId12"/><Relationship Target="styles.xml" Type="http://schemas.openxmlformats.org/officeDocument/2006/relationships/styles" Id="rId13"/><Relationship Target="theme/theme1.xml" Type="http://schemas.openxmlformats.org/officeDocument/2006/relationships/theme" Id="rId1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14"/>
  <sheetViews>
    <sheetView workbookViewId="0"/>
  </sheetViews>
  <sheetFormatPr defaultRowHeight="15" x14ac:dyDescent="0.25"/>
  <cols>
    <col min="1" max="1" style="48" width="25.719285714285714" customWidth="1" bestFit="1"/>
    <col min="2" max="2" style="104" width="12.43357142857143" customWidth="1" bestFit="1" hidden="1"/>
    <col min="3" max="3" style="104" width="12.43357142857143" customWidth="1" bestFit="1" hidden="1"/>
    <col min="4" max="4" style="104" width="12.43357142857143" customWidth="1" bestFit="1" hidden="1"/>
    <col min="5" max="5" style="104" width="12.43357142857143" customWidth="1" bestFit="1" hidden="1"/>
    <col min="6" max="6" style="104" width="12.43357142857143" customWidth="1" bestFit="1" hidden="1"/>
    <col min="7" max="7" style="104" width="12.43357142857143" customWidth="1" bestFit="1" hidden="1"/>
    <col min="8" max="8" style="104" width="12.43357142857143" customWidth="1" bestFit="1" hidden="1"/>
    <col min="9" max="9" style="104" width="104.57642857142856" customWidth="1" bestFit="1"/>
    <col min="10" max="10" style="104" width="104.57642857142856" customWidth="1" bestFit="1"/>
  </cols>
  <sheetData>
    <row x14ac:dyDescent="0.25" r="1" customHeight="1" ht="17.25">
      <c r="A1" s="1" t="s">
        <v>394</v>
      </c>
      <c r="B1" s="84"/>
      <c r="C1" s="84"/>
      <c r="D1" s="84"/>
      <c r="E1" s="84"/>
      <c r="F1" s="84"/>
      <c r="G1" s="84"/>
      <c r="H1" s="84"/>
      <c r="I1" s="84"/>
      <c r="J1" s="84"/>
    </row>
    <row x14ac:dyDescent="0.25" r="2" customHeight="1" ht="17.7">
      <c r="A2" s="42" t="s">
        <v>395</v>
      </c>
      <c r="B2" s="84"/>
      <c r="C2" s="84"/>
      <c r="D2" s="84"/>
      <c r="E2" s="84"/>
      <c r="F2" s="84"/>
      <c r="G2" s="84"/>
      <c r="H2" s="84"/>
      <c r="I2" s="84"/>
      <c r="J2" s="84"/>
    </row>
    <row x14ac:dyDescent="0.25" r="3" customHeight="1" ht="17.7">
      <c r="A3" s="42"/>
      <c r="B3" s="84"/>
      <c r="C3" s="84"/>
      <c r="D3" s="84"/>
      <c r="E3" s="84"/>
      <c r="F3" s="84"/>
      <c r="G3" s="84"/>
      <c r="H3" s="84"/>
      <c r="I3" s="84"/>
      <c r="J3" s="84"/>
    </row>
    <row x14ac:dyDescent="0.25" r="4" customHeight="1" ht="17.7">
      <c r="A4" s="42"/>
      <c r="B4" s="84"/>
      <c r="C4" s="84"/>
      <c r="D4" s="84"/>
      <c r="E4" s="84"/>
      <c r="F4" s="84"/>
      <c r="G4" s="84"/>
      <c r="H4" s="84"/>
      <c r="I4" s="84"/>
      <c r="J4" s="84"/>
    </row>
    <row x14ac:dyDescent="0.25" r="5" customHeight="1" ht="17.25">
      <c r="A5" s="85" t="s">
        <v>2</v>
      </c>
      <c r="B5" s="86" t="s">
        <v>396</v>
      </c>
      <c r="C5" s="86" t="s">
        <v>353</v>
      </c>
      <c r="D5" s="86" t="s">
        <v>320</v>
      </c>
      <c r="E5" s="86" t="s">
        <v>246</v>
      </c>
      <c r="F5" s="86" t="s">
        <v>397</v>
      </c>
      <c r="G5" s="86" t="s">
        <v>398</v>
      </c>
      <c r="H5" s="86" t="s">
        <v>399</v>
      </c>
      <c r="I5" s="86" t="s">
        <v>400</v>
      </c>
      <c r="J5" s="87" t="s">
        <v>401</v>
      </c>
    </row>
    <row x14ac:dyDescent="0.25" r="6" customHeight="1" ht="408.6000000000001" customFormat="1" s="27">
      <c r="A6" s="88" t="s">
        <v>402</v>
      </c>
      <c r="B6" s="89" t="s">
        <v>403</v>
      </c>
      <c r="C6" s="89" t="s">
        <v>404</v>
      </c>
      <c r="D6" s="89" t="s">
        <v>405</v>
      </c>
      <c r="E6" s="89" t="s">
        <v>406</v>
      </c>
      <c r="F6" s="89" t="s">
        <v>407</v>
      </c>
      <c r="G6" s="90" t="s">
        <v>408</v>
      </c>
      <c r="H6" s="91" t="s">
        <v>409</v>
      </c>
      <c r="I6" s="91" t="s">
        <v>410</v>
      </c>
      <c r="J6" s="91" t="s">
        <v>411</v>
      </c>
    </row>
    <row x14ac:dyDescent="0.25" r="7" customHeight="1" ht="206.69999999999996" customFormat="1" s="27">
      <c r="A7" s="92"/>
      <c r="B7" s="93"/>
      <c r="C7" s="93"/>
      <c r="D7" s="93"/>
      <c r="E7" s="93"/>
      <c r="F7" s="93"/>
      <c r="G7" s="93"/>
      <c r="H7" s="94"/>
      <c r="I7" s="94"/>
      <c r="J7" s="94"/>
    </row>
    <row x14ac:dyDescent="0.25" r="8" customHeight="1" ht="409.6000000000001" customFormat="1" s="27">
      <c r="A8" s="95" t="s">
        <v>412</v>
      </c>
      <c r="B8" s="96" t="s">
        <v>413</v>
      </c>
      <c r="C8" s="97" t="s">
        <v>414</v>
      </c>
      <c r="D8" s="97" t="s">
        <v>414</v>
      </c>
      <c r="E8" s="97" t="s">
        <v>414</v>
      </c>
      <c r="F8" s="97" t="s">
        <v>414</v>
      </c>
      <c r="G8" s="97" t="s">
        <v>415</v>
      </c>
      <c r="H8" s="97" t="s">
        <v>416</v>
      </c>
      <c r="I8" s="97" t="s">
        <v>417</v>
      </c>
      <c r="J8" s="97" t="s">
        <v>418</v>
      </c>
    </row>
    <row x14ac:dyDescent="0.25" r="9" customHeight="1" ht="409.2" customFormat="1" s="27">
      <c r="A9" s="95" t="s">
        <v>419</v>
      </c>
      <c r="B9" s="96" t="s">
        <v>420</v>
      </c>
      <c r="C9" s="96" t="s">
        <v>421</v>
      </c>
      <c r="D9" s="96" t="s">
        <v>422</v>
      </c>
      <c r="E9" s="96" t="s">
        <v>423</v>
      </c>
      <c r="F9" s="96" t="s">
        <v>424</v>
      </c>
      <c r="G9" s="96"/>
      <c r="H9" s="98" t="s">
        <v>425</v>
      </c>
      <c r="I9" s="97" t="s">
        <v>426</v>
      </c>
      <c r="J9" s="97" t="s">
        <v>427</v>
      </c>
    </row>
    <row x14ac:dyDescent="0.25" r="10" customHeight="1" ht="409.2" customFormat="1" s="27">
      <c r="A10" s="88" t="s">
        <v>4</v>
      </c>
      <c r="B10" s="89" t="s">
        <v>428</v>
      </c>
      <c r="C10" s="89" t="s">
        <v>354</v>
      </c>
      <c r="D10" s="89" t="s">
        <v>321</v>
      </c>
      <c r="E10" s="89" t="s">
        <v>247</v>
      </c>
      <c r="F10" s="89" t="s">
        <v>429</v>
      </c>
      <c r="G10" s="89" t="s">
        <v>184</v>
      </c>
      <c r="H10" s="89" t="s">
        <v>135</v>
      </c>
      <c r="I10" s="91" t="s">
        <v>111</v>
      </c>
      <c r="J10" s="91" t="s">
        <v>5</v>
      </c>
    </row>
    <row x14ac:dyDescent="0.25" r="11" customHeight="1" ht="409.2" customFormat="1" s="27">
      <c r="A11" s="99"/>
      <c r="B11" s="100"/>
      <c r="C11" s="100"/>
      <c r="D11" s="100"/>
      <c r="E11" s="100"/>
      <c r="F11" s="100"/>
      <c r="G11" s="100"/>
      <c r="H11" s="100"/>
      <c r="I11" s="101"/>
      <c r="J11" s="101"/>
    </row>
    <row x14ac:dyDescent="0.25" r="12" customHeight="1" ht="409.6000000000001" customFormat="1" s="27">
      <c r="A12" s="92"/>
      <c r="B12" s="93"/>
      <c r="C12" s="93"/>
      <c r="D12" s="93"/>
      <c r="E12" s="93"/>
      <c r="F12" s="93"/>
      <c r="G12" s="93"/>
      <c r="H12" s="93"/>
      <c r="I12" s="94"/>
      <c r="J12" s="94"/>
    </row>
    <row x14ac:dyDescent="0.25" r="13" customHeight="1" ht="17.25">
      <c r="A13" s="95" t="s">
        <v>430</v>
      </c>
      <c r="B13" s="102">
        <v>45875</v>
      </c>
      <c r="C13" s="102">
        <v>45876</v>
      </c>
      <c r="D13" s="102">
        <v>45877</v>
      </c>
      <c r="E13" s="102">
        <v>45877</v>
      </c>
      <c r="F13" s="102">
        <v>45887</v>
      </c>
      <c r="G13" s="102">
        <v>45895</v>
      </c>
      <c r="H13" s="102">
        <v>45908</v>
      </c>
      <c r="I13" s="103">
        <v>45932</v>
      </c>
      <c r="J13" s="103">
        <v>45978</v>
      </c>
    </row>
    <row x14ac:dyDescent="0.25" r="14" customHeight="1" ht="270.6" customFormat="1" s="27">
      <c r="A14" s="95" t="s">
        <v>431</v>
      </c>
      <c r="B14" s="96"/>
      <c r="C14" s="96" t="s">
        <v>432</v>
      </c>
      <c r="D14" s="96" t="s">
        <v>433</v>
      </c>
      <c r="E14" s="96" t="s">
        <v>434</v>
      </c>
      <c r="F14" s="96" t="s">
        <v>435</v>
      </c>
      <c r="G14" s="96" t="s">
        <v>436</v>
      </c>
      <c r="H14" s="96" t="s">
        <v>437</v>
      </c>
      <c r="I14" s="97" t="s">
        <v>438</v>
      </c>
      <c r="J14" s="97" t="s">
        <v>439</v>
      </c>
    </row>
  </sheetData>
  <mergeCells count="20">
    <mergeCell ref="A6:A7"/>
    <mergeCell ref="B6:B7"/>
    <mergeCell ref="C6:C7"/>
    <mergeCell ref="D6:D7"/>
    <mergeCell ref="E6:E7"/>
    <mergeCell ref="F6:F7"/>
    <mergeCell ref="G6:G7"/>
    <mergeCell ref="H6:H7"/>
    <mergeCell ref="I6:I7"/>
    <mergeCell ref="J6:J7"/>
    <mergeCell ref="A10:A12"/>
    <mergeCell ref="B10:B12"/>
    <mergeCell ref="C10:C12"/>
    <mergeCell ref="D10:D12"/>
    <mergeCell ref="E10:E12"/>
    <mergeCell ref="F10:F12"/>
    <mergeCell ref="G10:G12"/>
    <mergeCell ref="H10:H12"/>
    <mergeCell ref="I10:I12"/>
    <mergeCell ref="J10:J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3"/>
  <sheetViews>
    <sheetView workbookViewId="0"/>
  </sheetViews>
  <sheetFormatPr defaultRowHeight="15" x14ac:dyDescent="0.25"/>
  <cols>
    <col min="1" max="1" style="49" width="39.57642857142857" customWidth="1" bestFit="1"/>
    <col min="2" max="2" style="49" width="69.14785714285713" customWidth="1" bestFit="1"/>
    <col min="3" max="3" style="49" width="69.14785714285713" customWidth="1" bestFit="1"/>
    <col min="4" max="4" style="49" width="69.14785714285713" customWidth="1" bestFit="1"/>
    <col min="5" max="5" style="49" width="69.14785714285713" customWidth="1" bestFit="1"/>
    <col min="6" max="6" style="49" width="69.14785714285713" customWidth="1" bestFit="1"/>
  </cols>
  <sheetData>
    <row x14ac:dyDescent="0.25" r="1" customHeight="1" ht="17.25">
      <c r="A1" s="79" t="s">
        <v>393</v>
      </c>
      <c r="B1" s="5"/>
      <c r="C1" s="5"/>
      <c r="D1" s="5"/>
      <c r="E1" s="5"/>
      <c r="F1" s="5"/>
    </row>
    <row x14ac:dyDescent="0.25" r="2" customHeight="1" ht="17.25">
      <c r="A2" s="80" t="s">
        <v>378</v>
      </c>
      <c r="B2" s="5"/>
      <c r="C2" s="5"/>
      <c r="D2" s="5"/>
      <c r="E2" s="5"/>
      <c r="F2" s="5"/>
    </row>
    <row x14ac:dyDescent="0.25" r="3" customHeight="1" ht="17.25">
      <c r="A3" s="5"/>
      <c r="B3" s="5"/>
      <c r="C3" s="5"/>
      <c r="D3" s="5"/>
      <c r="E3" s="5"/>
      <c r="F3" s="5"/>
    </row>
    <row x14ac:dyDescent="0.25" r="4" customHeight="1" ht="17.25">
      <c r="A4" s="81" t="s">
        <v>379</v>
      </c>
      <c r="B4" s="5"/>
      <c r="C4" s="5"/>
      <c r="D4" s="5"/>
      <c r="E4" s="5"/>
      <c r="F4" s="5"/>
    </row>
    <row x14ac:dyDescent="0.25" r="5" customHeight="1" ht="17.25">
      <c r="A5" s="82" t="s">
        <v>380</v>
      </c>
      <c r="B5" s="82" t="s">
        <v>248</v>
      </c>
      <c r="C5" s="82" t="s">
        <v>249</v>
      </c>
      <c r="D5" s="82" t="s">
        <v>250</v>
      </c>
      <c r="E5" s="82" t="s">
        <v>251</v>
      </c>
      <c r="F5" s="82" t="s">
        <v>252</v>
      </c>
    </row>
    <row x14ac:dyDescent="0.25" r="6" customHeight="1" ht="408.6000000000001">
      <c r="A6" s="82" t="s">
        <v>14</v>
      </c>
      <c r="B6" s="83" t="s">
        <v>253</v>
      </c>
      <c r="C6" s="83" t="s">
        <v>254</v>
      </c>
      <c r="D6" s="83" t="s">
        <v>255</v>
      </c>
      <c r="E6" s="83" t="s">
        <v>256</v>
      </c>
      <c r="F6" s="83" t="s">
        <v>257</v>
      </c>
    </row>
    <row x14ac:dyDescent="0.25" r="7" customHeight="1" ht="292.2">
      <c r="A7" s="82" t="s">
        <v>20</v>
      </c>
      <c r="B7" s="83" t="s">
        <v>258</v>
      </c>
      <c r="C7" s="83" t="s">
        <v>259</v>
      </c>
      <c r="D7" s="83" t="s">
        <v>260</v>
      </c>
      <c r="E7" s="83" t="s">
        <v>261</v>
      </c>
      <c r="F7" s="83" t="s">
        <v>262</v>
      </c>
    </row>
    <row x14ac:dyDescent="0.25" r="8" customHeight="1" ht="17.25">
      <c r="A8" s="5"/>
      <c r="B8" s="5"/>
      <c r="C8" s="5"/>
      <c r="D8" s="5"/>
      <c r="E8" s="5"/>
      <c r="F8" s="5"/>
    </row>
    <row x14ac:dyDescent="0.25" r="9" customHeight="1" ht="17.25">
      <c r="A9" s="5"/>
      <c r="B9" s="5"/>
      <c r="C9" s="5"/>
      <c r="D9" s="5"/>
      <c r="E9" s="5"/>
      <c r="F9" s="5"/>
    </row>
    <row x14ac:dyDescent="0.25" r="10" customHeight="1" ht="17.25">
      <c r="A10" s="81" t="s">
        <v>387</v>
      </c>
      <c r="B10" s="5"/>
      <c r="C10" s="5"/>
      <c r="D10" s="5"/>
      <c r="E10" s="5"/>
      <c r="F10" s="5"/>
    </row>
    <row x14ac:dyDescent="0.25" r="11" customHeight="1" ht="17.25">
      <c r="A11" s="82" t="s">
        <v>380</v>
      </c>
      <c r="B11" s="82" t="s">
        <v>288</v>
      </c>
      <c r="C11" s="82" t="s">
        <v>289</v>
      </c>
      <c r="D11" s="82" t="s">
        <v>290</v>
      </c>
      <c r="E11" s="82" t="s">
        <v>291</v>
      </c>
      <c r="F11" s="82" t="s">
        <v>292</v>
      </c>
    </row>
    <row x14ac:dyDescent="0.25" r="12" customHeight="1" ht="17.25">
      <c r="A12" s="82" t="s">
        <v>14</v>
      </c>
      <c r="B12" s="83" t="s">
        <v>293</v>
      </c>
      <c r="C12" s="83" t="s">
        <v>294</v>
      </c>
      <c r="D12" s="83" t="s">
        <v>295</v>
      </c>
      <c r="E12" s="83" t="s">
        <v>296</v>
      </c>
      <c r="F12" s="83" t="s">
        <v>297</v>
      </c>
    </row>
    <row x14ac:dyDescent="0.25" r="13" customHeight="1" ht="300.6">
      <c r="A13" s="82" t="s">
        <v>20</v>
      </c>
      <c r="B13" s="83" t="s">
        <v>298</v>
      </c>
      <c r="C13" s="83" t="s">
        <v>299</v>
      </c>
      <c r="D13" s="83" t="s">
        <v>300</v>
      </c>
      <c r="E13" s="83" t="s">
        <v>301</v>
      </c>
      <c r="F13" s="83" t="s">
        <v>302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7"/>
  <sheetViews>
    <sheetView workbookViewId="0"/>
  </sheetViews>
  <sheetFormatPr defaultRowHeight="15" x14ac:dyDescent="0.25"/>
  <cols>
    <col min="1" max="1" style="48" width="39.57642857142857" customWidth="1" bestFit="1"/>
    <col min="2" max="2" style="48" width="69.14785714285713" customWidth="1" bestFit="1"/>
    <col min="3" max="3" style="48" width="69.14785714285713" customWidth="1" bestFit="1"/>
    <col min="4" max="4" style="48" width="69.14785714285713" customWidth="1" bestFit="1"/>
    <col min="5" max="5" style="48" width="69.14785714285713" customWidth="1" bestFit="1"/>
    <col min="6" max="6" style="48" width="69.14785714285713" customWidth="1" bestFit="1"/>
  </cols>
  <sheetData>
    <row x14ac:dyDescent="0.25" r="1" customHeight="1" ht="17.25">
      <c r="A1" s="1" t="s">
        <v>377</v>
      </c>
      <c r="B1" s="4"/>
      <c r="C1" s="4"/>
      <c r="D1" s="4"/>
      <c r="E1" s="4"/>
      <c r="F1" s="4"/>
    </row>
    <row x14ac:dyDescent="0.25" r="2" customHeight="1" ht="17.25">
      <c r="A2" s="74" t="s">
        <v>378</v>
      </c>
      <c r="B2" s="4"/>
      <c r="C2" s="4"/>
      <c r="D2" s="4"/>
      <c r="E2" s="4"/>
      <c r="F2" s="4"/>
    </row>
    <row x14ac:dyDescent="0.25" r="3" customHeight="1" ht="17.25">
      <c r="A3" s="4"/>
      <c r="B3" s="4"/>
      <c r="C3" s="4"/>
      <c r="D3" s="4"/>
      <c r="E3" s="4"/>
      <c r="F3" s="4"/>
    </row>
    <row x14ac:dyDescent="0.25" r="4" customHeight="1" ht="17.25">
      <c r="A4" s="6" t="s">
        <v>379</v>
      </c>
      <c r="B4" s="4"/>
      <c r="C4" s="4"/>
      <c r="D4" s="4"/>
      <c r="E4" s="4"/>
      <c r="F4" s="4"/>
    </row>
    <row x14ac:dyDescent="0.25" r="5" customHeight="1" ht="17.25">
      <c r="A5" s="19" t="s">
        <v>380</v>
      </c>
      <c r="B5" s="19" t="s">
        <v>8</v>
      </c>
      <c r="C5" s="19" t="s">
        <v>9</v>
      </c>
      <c r="D5" s="19" t="s">
        <v>10</v>
      </c>
      <c r="E5" s="19" t="s">
        <v>11</v>
      </c>
      <c r="F5" s="19" t="s">
        <v>12</v>
      </c>
    </row>
    <row x14ac:dyDescent="0.25" r="6" customHeight="1" ht="17.25">
      <c r="A6" s="19" t="s">
        <v>14</v>
      </c>
      <c r="B6" s="75" t="s">
        <v>15</v>
      </c>
      <c r="C6" s="75" t="s">
        <v>16</v>
      </c>
      <c r="D6" s="75" t="s">
        <v>17</v>
      </c>
      <c r="E6" s="75" t="s">
        <v>18</v>
      </c>
      <c r="F6" s="75" t="s">
        <v>19</v>
      </c>
    </row>
    <row x14ac:dyDescent="0.25" r="7" customHeight="1" ht="273.6">
      <c r="A7" s="19" t="s">
        <v>20</v>
      </c>
      <c r="B7" s="75" t="s">
        <v>136</v>
      </c>
      <c r="C7" s="75" t="s">
        <v>137</v>
      </c>
      <c r="D7" s="75" t="s">
        <v>138</v>
      </c>
      <c r="E7" s="75" t="s">
        <v>139</v>
      </c>
      <c r="F7" s="75" t="s">
        <v>25</v>
      </c>
    </row>
    <row x14ac:dyDescent="0.25" r="8" customHeight="1" ht="408">
      <c r="A8" s="76" t="s">
        <v>381</v>
      </c>
      <c r="B8" s="77" t="s">
        <v>382</v>
      </c>
      <c r="C8" s="77" t="s">
        <v>383</v>
      </c>
      <c r="D8" s="77" t="s">
        <v>384</v>
      </c>
      <c r="E8" s="77" t="s">
        <v>385</v>
      </c>
      <c r="F8" s="77" t="s">
        <v>386</v>
      </c>
    </row>
    <row x14ac:dyDescent="0.25" r="9" customHeight="1" ht="372">
      <c r="A9" s="78"/>
      <c r="B9" s="75"/>
      <c r="C9" s="75"/>
      <c r="D9" s="75"/>
      <c r="E9" s="75"/>
      <c r="F9" s="75"/>
    </row>
    <row x14ac:dyDescent="0.25" r="10" customHeight="1" ht="17.25">
      <c r="A10" s="4"/>
      <c r="B10" s="4"/>
      <c r="C10" s="4"/>
      <c r="D10" s="4"/>
      <c r="E10" s="4"/>
      <c r="F10" s="4"/>
    </row>
    <row x14ac:dyDescent="0.25" r="11" customHeight="1" ht="17.25">
      <c r="A11" s="4"/>
      <c r="B11" s="4"/>
      <c r="C11" s="4"/>
      <c r="D11" s="4"/>
      <c r="E11" s="4"/>
      <c r="F11" s="4"/>
    </row>
    <row x14ac:dyDescent="0.25" r="12" customHeight="1" ht="17.25">
      <c r="A12" s="6" t="s">
        <v>387</v>
      </c>
      <c r="B12" s="4"/>
      <c r="C12" s="4"/>
      <c r="D12" s="4"/>
      <c r="E12" s="4"/>
      <c r="F12" s="4"/>
    </row>
    <row x14ac:dyDescent="0.25" r="13" customHeight="1" ht="17.25">
      <c r="A13" s="19" t="s">
        <v>380</v>
      </c>
      <c r="B13" s="19" t="s">
        <v>79</v>
      </c>
      <c r="C13" s="19" t="s">
        <v>80</v>
      </c>
      <c r="D13" s="19" t="s">
        <v>81</v>
      </c>
      <c r="E13" s="19" t="s">
        <v>82</v>
      </c>
      <c r="F13" s="19" t="s">
        <v>83</v>
      </c>
    </row>
    <row x14ac:dyDescent="0.25" r="14" customHeight="1" ht="17.25">
      <c r="A14" s="19" t="s">
        <v>14</v>
      </c>
      <c r="B14" s="75" t="s">
        <v>84</v>
      </c>
      <c r="C14" s="75" t="s">
        <v>85</v>
      </c>
      <c r="D14" s="75" t="s">
        <v>86</v>
      </c>
      <c r="E14" s="75" t="s">
        <v>87</v>
      </c>
      <c r="F14" s="75" t="s">
        <v>88</v>
      </c>
    </row>
    <row x14ac:dyDescent="0.25" r="15" customHeight="1" ht="263.7">
      <c r="A15" s="19" t="s">
        <v>20</v>
      </c>
      <c r="B15" s="75" t="s">
        <v>167</v>
      </c>
      <c r="C15" s="75" t="s">
        <v>168</v>
      </c>
      <c r="D15" s="75" t="s">
        <v>169</v>
      </c>
      <c r="E15" s="75" t="s">
        <v>170</v>
      </c>
      <c r="F15" s="75" t="s">
        <v>171</v>
      </c>
    </row>
    <row x14ac:dyDescent="0.25" r="16" customHeight="1" ht="408">
      <c r="A16" s="76" t="s">
        <v>381</v>
      </c>
      <c r="B16" s="77" t="s">
        <v>388</v>
      </c>
      <c r="C16" s="77" t="s">
        <v>389</v>
      </c>
      <c r="D16" s="77" t="s">
        <v>390</v>
      </c>
      <c r="E16" s="77" t="s">
        <v>391</v>
      </c>
      <c r="F16" s="77" t="s">
        <v>392</v>
      </c>
    </row>
    <row x14ac:dyDescent="0.25" r="17" customHeight="1" ht="409.6000000000001">
      <c r="A17" s="78"/>
      <c r="B17" s="75"/>
      <c r="C17" s="75"/>
      <c r="D17" s="75"/>
      <c r="E17" s="75"/>
      <c r="F17" s="75"/>
    </row>
  </sheetData>
  <mergeCells count="12">
    <mergeCell ref="A8:A9"/>
    <mergeCell ref="B8:B9"/>
    <mergeCell ref="C8:C9"/>
    <mergeCell ref="D8:D9"/>
    <mergeCell ref="E8:E9"/>
    <mergeCell ref="F8:F9"/>
    <mergeCell ref="A16:A17"/>
    <mergeCell ref="B16:B17"/>
    <mergeCell ref="C16:C17"/>
    <mergeCell ref="D16:D17"/>
    <mergeCell ref="E16:E17"/>
    <mergeCell ref="F16:F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67"/>
  <sheetViews>
    <sheetView workbookViewId="0"/>
  </sheetViews>
  <sheetFormatPr defaultRowHeight="15" x14ac:dyDescent="0.25"/>
  <cols>
    <col min="1" max="1" style="48" width="22.14785714285714" customWidth="1" bestFit="1"/>
    <col min="2" max="2" style="48" width="46.14785714285715" customWidth="1" bestFit="1"/>
    <col min="3" max="3" style="57" width="99.7192857142857" customWidth="1" bestFit="1"/>
    <col min="4" max="4" style="57" width="99.7192857142857" customWidth="1" bestFit="1"/>
    <col min="5" max="5" style="57" width="99.7192857142857" customWidth="1" bestFit="1"/>
    <col min="6" max="6" style="57" width="99.7192857142857" customWidth="1" bestFit="1"/>
    <col min="7" max="7" style="57" width="99.7192857142857" customWidth="1" bestFit="1"/>
  </cols>
  <sheetData>
    <row x14ac:dyDescent="0.25" r="1" customHeight="1" ht="17.25">
      <c r="A1" s="1" t="s">
        <v>352</v>
      </c>
      <c r="B1" s="1"/>
      <c r="C1" s="2"/>
      <c r="D1" s="52"/>
      <c r="E1" s="52"/>
      <c r="F1" s="52"/>
      <c r="G1" s="52"/>
    </row>
    <row x14ac:dyDescent="0.25" r="2" customHeight="1" ht="17.25">
      <c r="A2" s="4"/>
      <c r="B2" s="4"/>
      <c r="C2" s="52"/>
      <c r="D2" s="52"/>
      <c r="E2" s="52"/>
      <c r="F2" s="52"/>
      <c r="G2" s="52"/>
    </row>
    <row x14ac:dyDescent="0.25" r="3" customHeight="1" ht="17.25">
      <c r="A3" s="6" t="s">
        <v>1</v>
      </c>
      <c r="B3" s="4"/>
      <c r="C3" s="52"/>
      <c r="D3" s="52"/>
      <c r="E3" s="52"/>
      <c r="F3" s="52"/>
      <c r="G3" s="52"/>
    </row>
    <row x14ac:dyDescent="0.25" r="4" customHeight="1" ht="17.25">
      <c r="A4" s="7" t="s">
        <v>2</v>
      </c>
      <c r="B4" s="8"/>
      <c r="C4" s="53" t="s">
        <v>353</v>
      </c>
      <c r="D4" s="52"/>
      <c r="E4" s="52"/>
      <c r="F4" s="52"/>
      <c r="G4" s="52"/>
    </row>
    <row x14ac:dyDescent="0.25" r="5" customHeight="1" ht="409.2">
      <c r="A5" s="10" t="s">
        <v>4</v>
      </c>
      <c r="B5" s="11"/>
      <c r="C5" s="54" t="s">
        <v>354</v>
      </c>
      <c r="D5" s="52"/>
      <c r="E5" s="52"/>
      <c r="F5" s="52"/>
      <c r="G5" s="52"/>
    </row>
    <row x14ac:dyDescent="0.25" r="6" customHeight="1" ht="288">
      <c r="A6" s="13"/>
      <c r="B6" s="14"/>
      <c r="C6" s="55"/>
      <c r="D6" s="52"/>
      <c r="E6" s="52"/>
      <c r="F6" s="52"/>
      <c r="G6" s="52"/>
    </row>
    <row x14ac:dyDescent="0.25" r="7" customHeight="1" ht="363.6000000000001">
      <c r="A7" s="16"/>
      <c r="B7" s="17"/>
      <c r="C7" s="56"/>
      <c r="D7" s="52"/>
      <c r="E7" s="52"/>
      <c r="F7" s="52"/>
      <c r="G7" s="52"/>
    </row>
    <row x14ac:dyDescent="0.25" r="8" customHeight="1" ht="17.25">
      <c r="A8" s="4"/>
      <c r="B8" s="4"/>
      <c r="C8" s="52"/>
      <c r="D8" s="52"/>
      <c r="E8" s="52"/>
      <c r="F8" s="52"/>
      <c r="G8" s="52"/>
    </row>
    <row x14ac:dyDescent="0.25" r="9" customHeight="1" ht="17.25">
      <c r="A9" s="4"/>
      <c r="B9" s="4"/>
      <c r="C9" s="52"/>
      <c r="D9" s="52"/>
      <c r="E9" s="52"/>
      <c r="F9" s="52"/>
      <c r="G9" s="52"/>
    </row>
    <row x14ac:dyDescent="0.25" r="10" customHeight="1" ht="17.25">
      <c r="A10" s="6" t="s">
        <v>6</v>
      </c>
      <c r="B10" s="4"/>
      <c r="C10" s="52"/>
      <c r="D10" s="52"/>
      <c r="E10" s="52"/>
      <c r="F10" s="52"/>
      <c r="G10" s="52"/>
    </row>
    <row x14ac:dyDescent="0.25" r="11" customHeight="1" ht="17.25">
      <c r="A11" s="19" t="s">
        <v>7</v>
      </c>
      <c r="B11" s="19"/>
      <c r="C11" s="20" t="s">
        <v>248</v>
      </c>
      <c r="D11" s="21" t="s">
        <v>249</v>
      </c>
      <c r="E11" s="20" t="s">
        <v>250</v>
      </c>
      <c r="F11" s="21" t="s">
        <v>251</v>
      </c>
      <c r="G11" s="20" t="s">
        <v>252</v>
      </c>
    </row>
    <row x14ac:dyDescent="0.25" r="12" customHeight="1" ht="17.25">
      <c r="A12" s="22" t="s">
        <v>13</v>
      </c>
      <c r="B12" s="19" t="s">
        <v>14</v>
      </c>
      <c r="C12" s="20" t="s">
        <v>253</v>
      </c>
      <c r="D12" s="20" t="s">
        <v>254</v>
      </c>
      <c r="E12" s="20" t="s">
        <v>255</v>
      </c>
      <c r="F12" s="20" t="s">
        <v>256</v>
      </c>
      <c r="G12" s="20" t="s">
        <v>257</v>
      </c>
    </row>
    <row x14ac:dyDescent="0.25" r="13" customHeight="1" ht="17.25">
      <c r="A13" s="19"/>
      <c r="B13" s="19" t="s">
        <v>20</v>
      </c>
      <c r="C13" s="20" t="s">
        <v>258</v>
      </c>
      <c r="D13" s="20" t="s">
        <v>259</v>
      </c>
      <c r="E13" s="20" t="s">
        <v>260</v>
      </c>
      <c r="F13" s="20" t="s">
        <v>261</v>
      </c>
      <c r="G13" s="20" t="s">
        <v>262</v>
      </c>
    </row>
    <row x14ac:dyDescent="0.25" r="14" customHeight="1" ht="17.25">
      <c r="A14" s="7" t="s">
        <v>26</v>
      </c>
      <c r="B14" s="8"/>
      <c r="C14" s="23" t="s">
        <v>263</v>
      </c>
      <c r="D14" s="23" t="s">
        <v>264</v>
      </c>
      <c r="E14" s="23" t="s">
        <v>265</v>
      </c>
      <c r="F14" s="23" t="s">
        <v>266</v>
      </c>
      <c r="G14" s="23" t="s">
        <v>267</v>
      </c>
    </row>
    <row x14ac:dyDescent="0.25" r="15" customHeight="1" ht="225.6">
      <c r="A15" s="7" t="s">
        <v>32</v>
      </c>
      <c r="B15" s="8"/>
      <c r="C15" s="24" t="s">
        <v>355</v>
      </c>
      <c r="D15" s="24" t="s">
        <v>356</v>
      </c>
      <c r="E15" s="24" t="s">
        <v>357</v>
      </c>
      <c r="F15" s="24" t="s">
        <v>358</v>
      </c>
      <c r="G15" s="24" t="s">
        <v>359</v>
      </c>
    </row>
    <row x14ac:dyDescent="0.25" r="16" customHeight="1" ht="17.25">
      <c r="A16" s="58" t="s">
        <v>38</v>
      </c>
      <c r="B16" s="59"/>
      <c r="C16" s="60" t="s">
        <v>360</v>
      </c>
      <c r="D16" s="61" t="s">
        <v>361</v>
      </c>
      <c r="E16" s="61" t="s">
        <v>362</v>
      </c>
      <c r="F16" s="61" t="s">
        <v>363</v>
      </c>
      <c r="G16" s="60" t="s">
        <v>364</v>
      </c>
    </row>
    <row x14ac:dyDescent="0.25" r="17" customHeight="1" ht="17.25">
      <c r="A17" s="70" t="s">
        <v>44</v>
      </c>
      <c r="B17" s="72" t="s">
        <v>278</v>
      </c>
      <c r="C17" s="71" t="s">
        <v>47</v>
      </c>
      <c r="D17" s="71" t="s">
        <v>47</v>
      </c>
      <c r="E17" s="71" t="s">
        <v>47</v>
      </c>
      <c r="F17" s="71" t="s">
        <v>47</v>
      </c>
      <c r="G17" s="71" t="s">
        <v>47</v>
      </c>
    </row>
    <row x14ac:dyDescent="0.25" r="18" customHeight="1" ht="17.25">
      <c r="A18" s="65"/>
      <c r="B18" s="29" t="s">
        <v>151</v>
      </c>
      <c r="C18" s="21" t="s">
        <v>46</v>
      </c>
      <c r="D18" s="21" t="s">
        <v>46</v>
      </c>
      <c r="E18" s="21" t="s">
        <v>46</v>
      </c>
      <c r="F18" s="21" t="s">
        <v>46</v>
      </c>
      <c r="G18" s="21" t="s">
        <v>46</v>
      </c>
    </row>
    <row x14ac:dyDescent="0.25" r="19" customHeight="1" ht="17.25">
      <c r="A19" s="65"/>
      <c r="B19" s="29" t="s">
        <v>196</v>
      </c>
      <c r="C19" s="21" t="s">
        <v>46</v>
      </c>
      <c r="D19" s="21" t="s">
        <v>46</v>
      </c>
      <c r="E19" s="21" t="s">
        <v>46</v>
      </c>
      <c r="F19" s="21" t="s">
        <v>46</v>
      </c>
      <c r="G19" s="21" t="s">
        <v>46</v>
      </c>
    </row>
    <row x14ac:dyDescent="0.25" r="20" customHeight="1" ht="17.25">
      <c r="A20" s="65"/>
      <c r="B20" s="29" t="s">
        <v>279</v>
      </c>
      <c r="C20" s="21" t="s">
        <v>46</v>
      </c>
      <c r="D20" s="21" t="s">
        <v>46</v>
      </c>
      <c r="E20" s="21" t="s">
        <v>46</v>
      </c>
      <c r="F20" s="21" t="s">
        <v>46</v>
      </c>
      <c r="G20" s="21" t="s">
        <v>46</v>
      </c>
    </row>
    <row x14ac:dyDescent="0.25" r="21" customHeight="1" ht="17.25">
      <c r="A21" s="65"/>
      <c r="B21" s="29" t="s">
        <v>51</v>
      </c>
      <c r="C21" s="21" t="s">
        <v>46</v>
      </c>
      <c r="D21" s="21" t="s">
        <v>46</v>
      </c>
      <c r="E21" s="21" t="s">
        <v>46</v>
      </c>
      <c r="F21" s="21" t="s">
        <v>46</v>
      </c>
      <c r="G21" s="21" t="s">
        <v>46</v>
      </c>
    </row>
    <row x14ac:dyDescent="0.25" r="22" customHeight="1" ht="17.25">
      <c r="A22" s="65"/>
      <c r="B22" s="29" t="s">
        <v>365</v>
      </c>
      <c r="C22" s="21" t="s">
        <v>47</v>
      </c>
      <c r="D22" s="21" t="s">
        <v>47</v>
      </c>
      <c r="E22" s="21" t="s">
        <v>47</v>
      </c>
      <c r="F22" s="21" t="s">
        <v>47</v>
      </c>
      <c r="G22" s="21" t="s">
        <v>47</v>
      </c>
    </row>
    <row x14ac:dyDescent="0.25" r="23" customHeight="1" ht="17.25">
      <c r="A23" s="65"/>
      <c r="B23" s="29" t="s">
        <v>226</v>
      </c>
      <c r="C23" s="21" t="s">
        <v>46</v>
      </c>
      <c r="D23" s="21" t="s">
        <v>46</v>
      </c>
      <c r="E23" s="21" t="s">
        <v>46</v>
      </c>
      <c r="F23" s="21" t="s">
        <v>46</v>
      </c>
      <c r="G23" s="21" t="s">
        <v>46</v>
      </c>
    </row>
    <row x14ac:dyDescent="0.25" r="24" customHeight="1" ht="17.25">
      <c r="A24" s="65"/>
      <c r="B24" s="29" t="s">
        <v>281</v>
      </c>
      <c r="C24" s="21" t="s">
        <v>46</v>
      </c>
      <c r="D24" s="21" t="s">
        <v>46</v>
      </c>
      <c r="E24" s="21" t="s">
        <v>46</v>
      </c>
      <c r="F24" s="21" t="s">
        <v>46</v>
      </c>
      <c r="G24" s="21" t="s">
        <v>46</v>
      </c>
    </row>
    <row x14ac:dyDescent="0.25" r="25" customHeight="1" ht="17.25">
      <c r="A25" s="65"/>
      <c r="B25" s="29" t="s">
        <v>228</v>
      </c>
      <c r="C25" s="21" t="s">
        <v>46</v>
      </c>
      <c r="D25" s="21" t="s">
        <v>46</v>
      </c>
      <c r="E25" s="21" t="s">
        <v>46</v>
      </c>
      <c r="F25" s="21" t="s">
        <v>46</v>
      </c>
      <c r="G25" s="21" t="s">
        <v>46</v>
      </c>
    </row>
    <row x14ac:dyDescent="0.25" r="26" customHeight="1" ht="17.25">
      <c r="A26" s="65"/>
      <c r="B26" s="29" t="s">
        <v>229</v>
      </c>
      <c r="C26" s="21" t="s">
        <v>46</v>
      </c>
      <c r="D26" s="21" t="s">
        <v>46</v>
      </c>
      <c r="E26" s="21" t="s">
        <v>46</v>
      </c>
      <c r="F26" s="21" t="s">
        <v>46</v>
      </c>
      <c r="G26" s="21" t="s">
        <v>46</v>
      </c>
    </row>
    <row x14ac:dyDescent="0.25" r="27" customHeight="1" ht="17.25">
      <c r="A27" s="66"/>
      <c r="B27" s="73" t="s">
        <v>282</v>
      </c>
      <c r="C27" s="68" t="s">
        <v>47</v>
      </c>
      <c r="D27" s="68" t="s">
        <v>47</v>
      </c>
      <c r="E27" s="68" t="s">
        <v>47</v>
      </c>
      <c r="F27" s="68" t="s">
        <v>47</v>
      </c>
      <c r="G27" s="68" t="s">
        <v>47</v>
      </c>
    </row>
    <row x14ac:dyDescent="0.25" r="28" customHeight="1" ht="17.25">
      <c r="A28" s="30" t="s">
        <v>64</v>
      </c>
      <c r="B28" s="31" t="s">
        <v>65</v>
      </c>
      <c r="C28" s="51" t="s">
        <v>46</v>
      </c>
      <c r="D28" s="51" t="s">
        <v>46</v>
      </c>
      <c r="E28" s="51" t="s">
        <v>46</v>
      </c>
      <c r="F28" s="51" t="s">
        <v>46</v>
      </c>
      <c r="G28" s="64" t="s">
        <v>46</v>
      </c>
    </row>
    <row x14ac:dyDescent="0.25" r="29" customHeight="1" ht="17.25">
      <c r="A29" s="32"/>
      <c r="B29" s="33" t="s">
        <v>66</v>
      </c>
      <c r="C29" s="21" t="s">
        <v>47</v>
      </c>
      <c r="D29" s="51" t="s">
        <v>47</v>
      </c>
      <c r="E29" s="51" t="s">
        <v>47</v>
      </c>
      <c r="F29" s="51" t="s">
        <v>47</v>
      </c>
      <c r="G29" s="64" t="s">
        <v>47</v>
      </c>
    </row>
    <row x14ac:dyDescent="0.25" r="30" customHeight="1" ht="17.25">
      <c r="A30" s="32"/>
      <c r="B30" s="33" t="s">
        <v>67</v>
      </c>
      <c r="C30" s="21" t="s">
        <v>46</v>
      </c>
      <c r="D30" s="51" t="s">
        <v>46</v>
      </c>
      <c r="E30" s="51" t="s">
        <v>46</v>
      </c>
      <c r="F30" s="51" t="s">
        <v>46</v>
      </c>
      <c r="G30" s="64" t="s">
        <v>46</v>
      </c>
    </row>
    <row x14ac:dyDescent="0.25" r="31" customHeight="1" ht="17.25">
      <c r="A31" s="32"/>
      <c r="B31" s="33" t="s">
        <v>68</v>
      </c>
      <c r="C31" s="21" t="s">
        <v>46</v>
      </c>
      <c r="D31" s="51" t="s">
        <v>46</v>
      </c>
      <c r="E31" s="51" t="s">
        <v>46</v>
      </c>
      <c r="F31" s="51" t="s">
        <v>46</v>
      </c>
      <c r="G31" s="64" t="s">
        <v>46</v>
      </c>
    </row>
    <row x14ac:dyDescent="0.25" r="32" customHeight="1" ht="17.25">
      <c r="A32" s="32"/>
      <c r="B32" s="33" t="s">
        <v>69</v>
      </c>
      <c r="C32" s="21" t="s">
        <v>46</v>
      </c>
      <c r="D32" s="51" t="s">
        <v>46</v>
      </c>
      <c r="E32" s="51" t="s">
        <v>46</v>
      </c>
      <c r="F32" s="51" t="s">
        <v>46</v>
      </c>
      <c r="G32" s="64" t="s">
        <v>46</v>
      </c>
    </row>
    <row x14ac:dyDescent="0.25" r="33" customHeight="1" ht="17.25">
      <c r="A33" s="32"/>
      <c r="B33" s="33" t="s">
        <v>70</v>
      </c>
      <c r="C33" s="21" t="s">
        <v>46</v>
      </c>
      <c r="D33" s="51" t="s">
        <v>46</v>
      </c>
      <c r="E33" s="51" t="s">
        <v>46</v>
      </c>
      <c r="F33" s="51" t="s">
        <v>46</v>
      </c>
      <c r="G33" s="64" t="s">
        <v>46</v>
      </c>
    </row>
    <row x14ac:dyDescent="0.25" r="34" customHeight="1" ht="17.25">
      <c r="A34" s="32"/>
      <c r="B34" s="33" t="s">
        <v>71</v>
      </c>
      <c r="C34" s="21" t="s">
        <v>46</v>
      </c>
      <c r="D34" s="51" t="s">
        <v>46</v>
      </c>
      <c r="E34" s="51" t="s">
        <v>46</v>
      </c>
      <c r="F34" s="51" t="s">
        <v>46</v>
      </c>
      <c r="G34" s="64" t="s">
        <v>46</v>
      </c>
    </row>
    <row x14ac:dyDescent="0.25" r="35" customHeight="1" ht="17.25">
      <c r="A35" s="32"/>
      <c r="B35" s="33" t="s">
        <v>72</v>
      </c>
      <c r="C35" s="21" t="s">
        <v>46</v>
      </c>
      <c r="D35" s="21" t="s">
        <v>46</v>
      </c>
      <c r="E35" s="51" t="s">
        <v>46</v>
      </c>
      <c r="F35" s="51" t="s">
        <v>46</v>
      </c>
      <c r="G35" s="64" t="s">
        <v>46</v>
      </c>
    </row>
    <row x14ac:dyDescent="0.25" r="36" customHeight="1" ht="17.25">
      <c r="A36" s="34" t="s">
        <v>73</v>
      </c>
      <c r="B36" s="35"/>
      <c r="C36" s="36">
        <f>COUNTIF(C17:C35,"○")/19*100</f>
      </c>
      <c r="D36" s="36">
        <f>COUNTIF(D17:D35,"○")/19*100</f>
      </c>
      <c r="E36" s="36">
        <f>COUNTIF(E17:E35,"○")/19*100</f>
      </c>
      <c r="F36" s="36">
        <f>COUNTIF(F17:F35,"○")/19*100</f>
      </c>
      <c r="G36" s="36">
        <f>COUNTIF(G17:G35,"○")/19*100</f>
      </c>
    </row>
    <row x14ac:dyDescent="0.25" r="37" customHeight="1" ht="115.95">
      <c r="A37" s="34" t="s">
        <v>74</v>
      </c>
      <c r="B37" s="35"/>
      <c r="C37" s="23" t="s">
        <v>366</v>
      </c>
      <c r="D37" s="23"/>
      <c r="E37" s="21"/>
      <c r="F37" s="21"/>
      <c r="G37" s="46"/>
    </row>
    <row x14ac:dyDescent="0.25" r="38" customHeight="1" ht="17.25">
      <c r="A38" s="4"/>
      <c r="B38" s="4"/>
      <c r="C38" s="52"/>
      <c r="D38" s="52"/>
      <c r="E38" s="52"/>
      <c r="F38" s="52"/>
      <c r="G38" s="52"/>
    </row>
    <row x14ac:dyDescent="0.25" r="39" customHeight="1" ht="17.25">
      <c r="A39" s="4"/>
      <c r="B39" s="4"/>
      <c r="C39" s="52"/>
      <c r="D39" s="52"/>
      <c r="E39" s="52"/>
      <c r="F39" s="52"/>
      <c r="G39" s="52"/>
    </row>
    <row x14ac:dyDescent="0.25" r="40" customHeight="1" ht="17.25">
      <c r="A40" s="6" t="s">
        <v>78</v>
      </c>
      <c r="B40" s="4"/>
      <c r="C40" s="52"/>
      <c r="D40" s="52"/>
      <c r="E40" s="52"/>
      <c r="F40" s="52"/>
      <c r="G40" s="52"/>
    </row>
    <row x14ac:dyDescent="0.25" r="41" customHeight="1" ht="17.25">
      <c r="A41" s="19" t="s">
        <v>7</v>
      </c>
      <c r="B41" s="19"/>
      <c r="C41" s="20" t="s">
        <v>288</v>
      </c>
      <c r="D41" s="21" t="s">
        <v>289</v>
      </c>
      <c r="E41" s="20" t="s">
        <v>290</v>
      </c>
      <c r="F41" s="21" t="s">
        <v>291</v>
      </c>
      <c r="G41" s="20" t="s">
        <v>292</v>
      </c>
    </row>
    <row x14ac:dyDescent="0.25" r="42" customHeight="1" ht="17.25">
      <c r="A42" s="22" t="s">
        <v>13</v>
      </c>
      <c r="B42" s="19" t="s">
        <v>14</v>
      </c>
      <c r="C42" s="20" t="s">
        <v>293</v>
      </c>
      <c r="D42" s="20" t="s">
        <v>294</v>
      </c>
      <c r="E42" s="20" t="s">
        <v>295</v>
      </c>
      <c r="F42" s="20" t="s">
        <v>296</v>
      </c>
      <c r="G42" s="20" t="s">
        <v>297</v>
      </c>
    </row>
    <row x14ac:dyDescent="0.25" r="43" customHeight="1" ht="17.25">
      <c r="A43" s="19"/>
      <c r="B43" s="19" t="s">
        <v>20</v>
      </c>
      <c r="C43" s="20" t="s">
        <v>298</v>
      </c>
      <c r="D43" s="20" t="s">
        <v>299</v>
      </c>
      <c r="E43" s="20" t="s">
        <v>300</v>
      </c>
      <c r="F43" s="20" t="s">
        <v>301</v>
      </c>
      <c r="G43" s="20" t="s">
        <v>302</v>
      </c>
    </row>
    <row x14ac:dyDescent="0.25" r="44" customHeight="1" ht="17.25">
      <c r="A44" s="7" t="s">
        <v>26</v>
      </c>
      <c r="B44" s="8"/>
      <c r="C44" s="23" t="s">
        <v>303</v>
      </c>
      <c r="D44" s="23" t="s">
        <v>304</v>
      </c>
      <c r="E44" s="23" t="s">
        <v>305</v>
      </c>
      <c r="F44" s="23" t="s">
        <v>306</v>
      </c>
      <c r="G44" s="23" t="s">
        <v>307</v>
      </c>
    </row>
    <row x14ac:dyDescent="0.25" r="45" customHeight="1" ht="17.25">
      <c r="A45" s="7" t="s">
        <v>32</v>
      </c>
      <c r="B45" s="8"/>
      <c r="C45" s="24" t="s">
        <v>367</v>
      </c>
      <c r="D45" s="24" t="s">
        <v>368</v>
      </c>
      <c r="E45" s="24" t="s">
        <v>369</v>
      </c>
      <c r="F45" s="24" t="s">
        <v>370</v>
      </c>
      <c r="G45" s="24" t="s">
        <v>371</v>
      </c>
    </row>
    <row x14ac:dyDescent="0.25" r="46" customHeight="1" ht="17.25">
      <c r="A46" s="58" t="s">
        <v>38</v>
      </c>
      <c r="B46" s="59"/>
      <c r="C46" s="60" t="s">
        <v>372</v>
      </c>
      <c r="D46" s="61" t="s">
        <v>373</v>
      </c>
      <c r="E46" s="61" t="s">
        <v>374</v>
      </c>
      <c r="F46" s="61" t="s">
        <v>375</v>
      </c>
      <c r="G46" s="60" t="s">
        <v>376</v>
      </c>
    </row>
    <row x14ac:dyDescent="0.25" r="47" customHeight="1" ht="17.25">
      <c r="A47" s="70" t="s">
        <v>44</v>
      </c>
      <c r="B47" s="72" t="s">
        <v>278</v>
      </c>
      <c r="C47" s="71" t="s">
        <v>47</v>
      </c>
      <c r="D47" s="71" t="s">
        <v>47</v>
      </c>
      <c r="E47" s="71" t="s">
        <v>47</v>
      </c>
      <c r="F47" s="71" t="s">
        <v>47</v>
      </c>
      <c r="G47" s="71" t="s">
        <v>46</v>
      </c>
    </row>
    <row x14ac:dyDescent="0.25" r="48" customHeight="1" ht="17.25">
      <c r="A48" s="65"/>
      <c r="B48" s="29" t="s">
        <v>151</v>
      </c>
      <c r="C48" s="21" t="s">
        <v>46</v>
      </c>
      <c r="D48" s="21" t="s">
        <v>46</v>
      </c>
      <c r="E48" s="21" t="s">
        <v>46</v>
      </c>
      <c r="F48" s="21" t="s">
        <v>46</v>
      </c>
      <c r="G48" s="21" t="s">
        <v>46</v>
      </c>
    </row>
    <row x14ac:dyDescent="0.25" r="49" customHeight="1" ht="17.25">
      <c r="A49" s="65"/>
      <c r="B49" s="29" t="s">
        <v>196</v>
      </c>
      <c r="C49" s="21" t="s">
        <v>46</v>
      </c>
      <c r="D49" s="21" t="s">
        <v>46</v>
      </c>
      <c r="E49" s="21" t="s">
        <v>46</v>
      </c>
      <c r="F49" s="21" t="s">
        <v>46</v>
      </c>
      <c r="G49" s="21" t="s">
        <v>46</v>
      </c>
    </row>
    <row x14ac:dyDescent="0.25" r="50" customHeight="1" ht="17.25">
      <c r="A50" s="65"/>
      <c r="B50" s="29" t="s">
        <v>279</v>
      </c>
      <c r="C50" s="21" t="s">
        <v>46</v>
      </c>
      <c r="D50" s="21" t="s">
        <v>46</v>
      </c>
      <c r="E50" s="21" t="s">
        <v>46</v>
      </c>
      <c r="F50" s="21" t="s">
        <v>46</v>
      </c>
      <c r="G50" s="21" t="s">
        <v>46</v>
      </c>
    </row>
    <row x14ac:dyDescent="0.25" r="51" customHeight="1" ht="17.25">
      <c r="A51" s="65"/>
      <c r="B51" s="29" t="s">
        <v>51</v>
      </c>
      <c r="C51" s="21" t="s">
        <v>46</v>
      </c>
      <c r="D51" s="21" t="s">
        <v>46</v>
      </c>
      <c r="E51" s="21" t="s">
        <v>46</v>
      </c>
      <c r="F51" s="21" t="s">
        <v>46</v>
      </c>
      <c r="G51" s="21" t="s">
        <v>46</v>
      </c>
    </row>
    <row x14ac:dyDescent="0.25" r="52" customHeight="1" ht="17.25">
      <c r="A52" s="65"/>
      <c r="B52" s="29" t="s">
        <v>365</v>
      </c>
      <c r="C52" s="21" t="s">
        <v>46</v>
      </c>
      <c r="D52" s="21" t="s">
        <v>46</v>
      </c>
      <c r="E52" s="21" t="s">
        <v>47</v>
      </c>
      <c r="F52" s="21" t="s">
        <v>47</v>
      </c>
      <c r="G52" s="21" t="s">
        <v>47</v>
      </c>
    </row>
    <row x14ac:dyDescent="0.25" r="53" customHeight="1" ht="17.25">
      <c r="A53" s="65"/>
      <c r="B53" s="29" t="s">
        <v>226</v>
      </c>
      <c r="C53" s="21" t="s">
        <v>46</v>
      </c>
      <c r="D53" s="21" t="s">
        <v>46</v>
      </c>
      <c r="E53" s="21" t="s">
        <v>46</v>
      </c>
      <c r="F53" s="21" t="s">
        <v>46</v>
      </c>
      <c r="G53" s="21" t="s">
        <v>46</v>
      </c>
    </row>
    <row x14ac:dyDescent="0.25" r="54" customHeight="1" ht="17.25">
      <c r="A54" s="65"/>
      <c r="B54" s="29" t="s">
        <v>281</v>
      </c>
      <c r="C54" s="21" t="s">
        <v>46</v>
      </c>
      <c r="D54" s="21" t="s">
        <v>46</v>
      </c>
      <c r="E54" s="21" t="s">
        <v>46</v>
      </c>
      <c r="F54" s="21" t="s">
        <v>46</v>
      </c>
      <c r="G54" s="21" t="s">
        <v>46</v>
      </c>
    </row>
    <row x14ac:dyDescent="0.25" r="55" customHeight="1" ht="17.25">
      <c r="A55" s="65"/>
      <c r="B55" s="29" t="s">
        <v>228</v>
      </c>
      <c r="C55" s="21" t="s">
        <v>46</v>
      </c>
      <c r="D55" s="21" t="s">
        <v>46</v>
      </c>
      <c r="E55" s="21" t="s">
        <v>46</v>
      </c>
      <c r="F55" s="21" t="s">
        <v>46</v>
      </c>
      <c r="G55" s="21" t="s">
        <v>46</v>
      </c>
    </row>
    <row x14ac:dyDescent="0.25" r="56" customHeight="1" ht="17.25">
      <c r="A56" s="65"/>
      <c r="B56" s="29" t="s">
        <v>229</v>
      </c>
      <c r="C56" s="21" t="s">
        <v>46</v>
      </c>
      <c r="D56" s="21" t="s">
        <v>46</v>
      </c>
      <c r="E56" s="21" t="s">
        <v>46</v>
      </c>
      <c r="F56" s="21" t="s">
        <v>46</v>
      </c>
      <c r="G56" s="21" t="s">
        <v>46</v>
      </c>
    </row>
    <row x14ac:dyDescent="0.25" r="57" customHeight="1" ht="17.25">
      <c r="A57" s="66"/>
      <c r="B57" s="73" t="s">
        <v>282</v>
      </c>
      <c r="C57" s="68" t="s">
        <v>47</v>
      </c>
      <c r="D57" s="68" t="s">
        <v>47</v>
      </c>
      <c r="E57" s="68" t="s">
        <v>47</v>
      </c>
      <c r="F57" s="68" t="s">
        <v>47</v>
      </c>
      <c r="G57" s="68" t="s">
        <v>47</v>
      </c>
    </row>
    <row x14ac:dyDescent="0.25" r="58" customHeight="1" ht="17.25">
      <c r="A58" s="30" t="s">
        <v>64</v>
      </c>
      <c r="B58" s="31" t="s">
        <v>65</v>
      </c>
      <c r="C58" s="51" t="s">
        <v>46</v>
      </c>
      <c r="D58" s="51" t="s">
        <v>46</v>
      </c>
      <c r="E58" s="51" t="s">
        <v>46</v>
      </c>
      <c r="F58" s="51" t="s">
        <v>46</v>
      </c>
      <c r="G58" s="64" t="s">
        <v>46</v>
      </c>
    </row>
    <row x14ac:dyDescent="0.25" r="59" customHeight="1" ht="17.25">
      <c r="A59" s="32"/>
      <c r="B59" s="33" t="s">
        <v>66</v>
      </c>
      <c r="C59" s="51" t="s">
        <v>47</v>
      </c>
      <c r="D59" s="51" t="s">
        <v>47</v>
      </c>
      <c r="E59" s="51" t="s">
        <v>47</v>
      </c>
      <c r="F59" s="51" t="s">
        <v>47</v>
      </c>
      <c r="G59" s="64" t="s">
        <v>47</v>
      </c>
    </row>
    <row x14ac:dyDescent="0.25" r="60" customHeight="1" ht="17.25">
      <c r="A60" s="32"/>
      <c r="B60" s="33" t="s">
        <v>67</v>
      </c>
      <c r="C60" s="51" t="s">
        <v>46</v>
      </c>
      <c r="D60" s="51" t="s">
        <v>46</v>
      </c>
      <c r="E60" s="51" t="s">
        <v>46</v>
      </c>
      <c r="F60" s="51" t="s">
        <v>46</v>
      </c>
      <c r="G60" s="64" t="s">
        <v>46</v>
      </c>
    </row>
    <row x14ac:dyDescent="0.25" r="61" customHeight="1" ht="17.25">
      <c r="A61" s="32"/>
      <c r="B61" s="33" t="s">
        <v>68</v>
      </c>
      <c r="C61" s="51" t="s">
        <v>46</v>
      </c>
      <c r="D61" s="51" t="s">
        <v>46</v>
      </c>
      <c r="E61" s="51" t="s">
        <v>46</v>
      </c>
      <c r="F61" s="51" t="s">
        <v>46</v>
      </c>
      <c r="G61" s="64" t="s">
        <v>46</v>
      </c>
    </row>
    <row x14ac:dyDescent="0.25" r="62" customHeight="1" ht="17.25">
      <c r="A62" s="32"/>
      <c r="B62" s="33" t="s">
        <v>69</v>
      </c>
      <c r="C62" s="51" t="s">
        <v>46</v>
      </c>
      <c r="D62" s="51" t="s">
        <v>46</v>
      </c>
      <c r="E62" s="51" t="s">
        <v>46</v>
      </c>
      <c r="F62" s="51" t="s">
        <v>46</v>
      </c>
      <c r="G62" s="64" t="s">
        <v>46</v>
      </c>
    </row>
    <row x14ac:dyDescent="0.25" r="63" customHeight="1" ht="17.25">
      <c r="A63" s="32"/>
      <c r="B63" s="33" t="s">
        <v>70</v>
      </c>
      <c r="C63" s="51" t="s">
        <v>46</v>
      </c>
      <c r="D63" s="51" t="s">
        <v>46</v>
      </c>
      <c r="E63" s="51" t="s">
        <v>46</v>
      </c>
      <c r="F63" s="51" t="s">
        <v>46</v>
      </c>
      <c r="G63" s="64" t="s">
        <v>46</v>
      </c>
    </row>
    <row x14ac:dyDescent="0.25" r="64" customHeight="1" ht="17.25">
      <c r="A64" s="32"/>
      <c r="B64" s="33" t="s">
        <v>71</v>
      </c>
      <c r="C64" s="51" t="s">
        <v>46</v>
      </c>
      <c r="D64" s="51" t="s">
        <v>46</v>
      </c>
      <c r="E64" s="51" t="s">
        <v>46</v>
      </c>
      <c r="F64" s="51" t="s">
        <v>46</v>
      </c>
      <c r="G64" s="64" t="s">
        <v>46</v>
      </c>
    </row>
    <row x14ac:dyDescent="0.25" r="65" customHeight="1" ht="17.25">
      <c r="A65" s="32"/>
      <c r="B65" s="33" t="s">
        <v>72</v>
      </c>
      <c r="C65" s="51" t="s">
        <v>46</v>
      </c>
      <c r="D65" s="51" t="s">
        <v>46</v>
      </c>
      <c r="E65" s="51" t="s">
        <v>46</v>
      </c>
      <c r="F65" s="51" t="s">
        <v>46</v>
      </c>
      <c r="G65" s="64" t="s">
        <v>46</v>
      </c>
    </row>
    <row x14ac:dyDescent="0.25" r="66" customHeight="1" ht="17.25">
      <c r="A66" s="34" t="s">
        <v>73</v>
      </c>
      <c r="B66" s="35"/>
      <c r="C66" s="36">
        <f>COUNTIF(C45:C65,"○")/19*100</f>
      </c>
      <c r="D66" s="36">
        <f>COUNTIF(D45:D65,"○")/19*100</f>
      </c>
      <c r="E66" s="36">
        <f>COUNTIF(E45:E65,"○")/19*100</f>
      </c>
      <c r="F66" s="36">
        <f>COUNTIF(F45:F65,"○")/19*100</f>
      </c>
      <c r="G66" s="36">
        <f>COUNTIF(G45:G65,"○")/19*100</f>
      </c>
    </row>
    <row x14ac:dyDescent="0.25" r="67" customHeight="1" ht="115.95">
      <c r="A67" s="34" t="s">
        <v>74</v>
      </c>
      <c r="B67" s="35"/>
      <c r="C67" s="23"/>
      <c r="D67" s="23"/>
      <c r="E67" s="23"/>
      <c r="F67" s="23"/>
      <c r="G67" s="20"/>
    </row>
  </sheetData>
  <mergeCells count="21">
    <mergeCell ref="A4:B4"/>
    <mergeCell ref="A5:B7"/>
    <mergeCell ref="C5:C7"/>
    <mergeCell ref="A11:B11"/>
    <mergeCell ref="A12:A13"/>
    <mergeCell ref="A14:B14"/>
    <mergeCell ref="A15:B15"/>
    <mergeCell ref="A16:B16"/>
    <mergeCell ref="A17:A27"/>
    <mergeCell ref="A28:A35"/>
    <mergeCell ref="A36:B36"/>
    <mergeCell ref="A37:B37"/>
    <mergeCell ref="A41:B41"/>
    <mergeCell ref="A42:A43"/>
    <mergeCell ref="A44:B44"/>
    <mergeCell ref="A45:B45"/>
    <mergeCell ref="A46:B46"/>
    <mergeCell ref="A47:A57"/>
    <mergeCell ref="A58:A65"/>
    <mergeCell ref="A66:B66"/>
    <mergeCell ref="A67:B6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69"/>
  <sheetViews>
    <sheetView workbookViewId="0"/>
  </sheetViews>
  <sheetFormatPr defaultRowHeight="15" x14ac:dyDescent="0.25"/>
  <cols>
    <col min="1" max="1" style="48" width="22.14785714285714" customWidth="1" bestFit="1"/>
    <col min="2" max="2" style="48" width="46.14785714285715" customWidth="1" bestFit="1"/>
    <col min="3" max="3" style="57" width="99.7192857142857" customWidth="1" bestFit="1"/>
    <col min="4" max="4" style="57" width="99.7192857142857" customWidth="1" bestFit="1"/>
    <col min="5" max="5" style="57" width="99.7192857142857" customWidth="1" bestFit="1"/>
    <col min="6" max="6" style="57" width="99.7192857142857" customWidth="1" bestFit="1"/>
    <col min="7" max="7" style="57" width="99.7192857142857" customWidth="1" bestFit="1"/>
  </cols>
  <sheetData>
    <row x14ac:dyDescent="0.25" r="1" customHeight="1" ht="17.25">
      <c r="A1" s="1" t="s">
        <v>319</v>
      </c>
      <c r="B1" s="1"/>
      <c r="C1" s="2"/>
      <c r="D1" s="52"/>
      <c r="E1" s="52"/>
      <c r="F1" s="52"/>
      <c r="G1" s="52"/>
    </row>
    <row x14ac:dyDescent="0.25" r="2" customHeight="1" ht="17.25">
      <c r="A2" s="4"/>
      <c r="B2" s="4"/>
      <c r="C2" s="52"/>
      <c r="D2" s="52"/>
      <c r="E2" s="52"/>
      <c r="F2" s="52"/>
      <c r="G2" s="52"/>
    </row>
    <row x14ac:dyDescent="0.25" r="3" customHeight="1" ht="17.25">
      <c r="A3" s="6" t="s">
        <v>1</v>
      </c>
      <c r="B3" s="4"/>
      <c r="C3" s="52"/>
      <c r="D3" s="52"/>
      <c r="E3" s="52"/>
      <c r="F3" s="52"/>
      <c r="G3" s="52"/>
    </row>
    <row x14ac:dyDescent="0.25" r="4" customHeight="1" ht="17.25">
      <c r="A4" s="7" t="s">
        <v>2</v>
      </c>
      <c r="B4" s="8"/>
      <c r="C4" s="53" t="s">
        <v>320</v>
      </c>
      <c r="D4" s="52"/>
      <c r="E4" s="52"/>
      <c r="F4" s="52"/>
      <c r="G4" s="52"/>
    </row>
    <row x14ac:dyDescent="0.25" r="5" customHeight="1" ht="409.2">
      <c r="A5" s="10" t="s">
        <v>4</v>
      </c>
      <c r="B5" s="11"/>
      <c r="C5" s="54" t="s">
        <v>321</v>
      </c>
      <c r="D5" s="52"/>
      <c r="E5" s="52"/>
      <c r="F5" s="52"/>
      <c r="G5" s="52"/>
    </row>
    <row x14ac:dyDescent="0.25" r="6" customHeight="1" ht="288">
      <c r="A6" s="13"/>
      <c r="B6" s="14"/>
      <c r="C6" s="55"/>
      <c r="D6" s="52"/>
      <c r="E6" s="52"/>
      <c r="F6" s="52"/>
      <c r="G6" s="52"/>
    </row>
    <row x14ac:dyDescent="0.25" r="7" customHeight="1" ht="363.6000000000001">
      <c r="A7" s="16"/>
      <c r="B7" s="17"/>
      <c r="C7" s="56"/>
      <c r="D7" s="52"/>
      <c r="E7" s="52"/>
      <c r="F7" s="52"/>
      <c r="G7" s="52"/>
    </row>
    <row x14ac:dyDescent="0.25" r="8" customHeight="1" ht="17.25">
      <c r="A8" s="4"/>
      <c r="B8" s="4"/>
      <c r="C8" s="52"/>
      <c r="D8" s="52"/>
      <c r="E8" s="52"/>
      <c r="F8" s="52"/>
      <c r="G8" s="52"/>
    </row>
    <row x14ac:dyDescent="0.25" r="9" customHeight="1" ht="17.25">
      <c r="A9" s="4"/>
      <c r="B9" s="4"/>
      <c r="C9" s="52"/>
      <c r="D9" s="52"/>
      <c r="E9" s="52"/>
      <c r="F9" s="52"/>
      <c r="G9" s="52"/>
    </row>
    <row x14ac:dyDescent="0.25" r="10" customHeight="1" ht="17.25">
      <c r="A10" s="6" t="s">
        <v>6</v>
      </c>
      <c r="B10" s="4"/>
      <c r="C10" s="52"/>
      <c r="D10" s="52"/>
      <c r="E10" s="52"/>
      <c r="F10" s="52"/>
      <c r="G10" s="52"/>
    </row>
    <row x14ac:dyDescent="0.25" r="11" customHeight="1" ht="17.25">
      <c r="A11" s="19" t="s">
        <v>7</v>
      </c>
      <c r="B11" s="19"/>
      <c r="C11" s="20" t="s">
        <v>248</v>
      </c>
      <c r="D11" s="21" t="s">
        <v>249</v>
      </c>
      <c r="E11" s="20" t="s">
        <v>250</v>
      </c>
      <c r="F11" s="21" t="s">
        <v>251</v>
      </c>
      <c r="G11" s="20" t="s">
        <v>252</v>
      </c>
    </row>
    <row x14ac:dyDescent="0.25" r="12" customHeight="1" ht="17.25">
      <c r="A12" s="22" t="s">
        <v>13</v>
      </c>
      <c r="B12" s="19" t="s">
        <v>14</v>
      </c>
      <c r="C12" s="20" t="s">
        <v>253</v>
      </c>
      <c r="D12" s="20" t="s">
        <v>254</v>
      </c>
      <c r="E12" s="20" t="s">
        <v>255</v>
      </c>
      <c r="F12" s="20" t="s">
        <v>256</v>
      </c>
      <c r="G12" s="20" t="s">
        <v>257</v>
      </c>
    </row>
    <row x14ac:dyDescent="0.25" r="13" customHeight="1" ht="17.25">
      <c r="A13" s="19"/>
      <c r="B13" s="19" t="s">
        <v>20</v>
      </c>
      <c r="C13" s="20" t="s">
        <v>258</v>
      </c>
      <c r="D13" s="20" t="s">
        <v>259</v>
      </c>
      <c r="E13" s="20" t="s">
        <v>260</v>
      </c>
      <c r="F13" s="20" t="s">
        <v>261</v>
      </c>
      <c r="G13" s="20" t="s">
        <v>262</v>
      </c>
    </row>
    <row x14ac:dyDescent="0.25" r="14" customHeight="1" ht="17.25">
      <c r="A14" s="7" t="s">
        <v>26</v>
      </c>
      <c r="B14" s="8"/>
      <c r="C14" s="23" t="s">
        <v>263</v>
      </c>
      <c r="D14" s="23" t="s">
        <v>264</v>
      </c>
      <c r="E14" s="23" t="s">
        <v>265</v>
      </c>
      <c r="F14" s="23" t="s">
        <v>266</v>
      </c>
      <c r="G14" s="23" t="s">
        <v>267</v>
      </c>
    </row>
    <row x14ac:dyDescent="0.25" r="15" customHeight="1" ht="17.25">
      <c r="A15" s="7" t="s">
        <v>32</v>
      </c>
      <c r="B15" s="8"/>
      <c r="C15" s="24" t="s">
        <v>322</v>
      </c>
      <c r="D15" s="24" t="s">
        <v>323</v>
      </c>
      <c r="E15" s="24" t="s">
        <v>324</v>
      </c>
      <c r="F15" s="24" t="s">
        <v>325</v>
      </c>
      <c r="G15" s="24" t="s">
        <v>326</v>
      </c>
    </row>
    <row x14ac:dyDescent="0.25" r="16" customHeight="1" ht="17.25">
      <c r="A16" s="58" t="s">
        <v>38</v>
      </c>
      <c r="B16" s="59"/>
      <c r="C16" s="60" t="s">
        <v>327</v>
      </c>
      <c r="D16" s="61" t="s">
        <v>328</v>
      </c>
      <c r="E16" s="61" t="s">
        <v>329</v>
      </c>
      <c r="F16" s="61" t="s">
        <v>330</v>
      </c>
      <c r="G16" s="60" t="s">
        <v>331</v>
      </c>
    </row>
    <row x14ac:dyDescent="0.25" r="17" customHeight="1" ht="17.25">
      <c r="A17" s="70" t="s">
        <v>44</v>
      </c>
      <c r="B17" s="72" t="s">
        <v>278</v>
      </c>
      <c r="C17" s="71" t="s">
        <v>47</v>
      </c>
      <c r="D17" s="71" t="s">
        <v>47</v>
      </c>
      <c r="E17" s="71" t="s">
        <v>47</v>
      </c>
      <c r="F17" s="71" t="s">
        <v>47</v>
      </c>
      <c r="G17" s="71" t="s">
        <v>47</v>
      </c>
    </row>
    <row x14ac:dyDescent="0.25" r="18" customHeight="1" ht="17.25">
      <c r="A18" s="65"/>
      <c r="B18" s="29" t="s">
        <v>151</v>
      </c>
      <c r="C18" s="21" t="s">
        <v>46</v>
      </c>
      <c r="D18" s="21" t="s">
        <v>46</v>
      </c>
      <c r="E18" s="21" t="s">
        <v>46</v>
      </c>
      <c r="F18" s="21" t="s">
        <v>46</v>
      </c>
      <c r="G18" s="21" t="s">
        <v>46</v>
      </c>
    </row>
    <row x14ac:dyDescent="0.25" r="19" customHeight="1" ht="17.25">
      <c r="A19" s="65"/>
      <c r="B19" s="29" t="s">
        <v>196</v>
      </c>
      <c r="C19" s="21" t="s">
        <v>46</v>
      </c>
      <c r="D19" s="21" t="s">
        <v>46</v>
      </c>
      <c r="E19" s="21" t="s">
        <v>46</v>
      </c>
      <c r="F19" s="21" t="s">
        <v>46</v>
      </c>
      <c r="G19" s="21" t="s">
        <v>46</v>
      </c>
    </row>
    <row x14ac:dyDescent="0.25" r="20" customHeight="1" ht="17.25">
      <c r="A20" s="65"/>
      <c r="B20" s="29" t="s">
        <v>279</v>
      </c>
      <c r="C20" s="21" t="s">
        <v>46</v>
      </c>
      <c r="D20" s="21" t="s">
        <v>46</v>
      </c>
      <c r="E20" s="21" t="s">
        <v>46</v>
      </c>
      <c r="F20" s="21" t="s">
        <v>46</v>
      </c>
      <c r="G20" s="21" t="s">
        <v>46</v>
      </c>
    </row>
    <row x14ac:dyDescent="0.25" r="21" customHeight="1" ht="17.25">
      <c r="A21" s="65"/>
      <c r="B21" s="29" t="s">
        <v>51</v>
      </c>
      <c r="C21" s="21" t="s">
        <v>46</v>
      </c>
      <c r="D21" s="21" t="s">
        <v>46</v>
      </c>
      <c r="E21" s="21" t="s">
        <v>46</v>
      </c>
      <c r="F21" s="21" t="s">
        <v>46</v>
      </c>
      <c r="G21" s="21" t="s">
        <v>46</v>
      </c>
    </row>
    <row x14ac:dyDescent="0.25" r="22" customHeight="1" ht="17.25">
      <c r="A22" s="65"/>
      <c r="B22" s="29" t="s">
        <v>280</v>
      </c>
      <c r="C22" s="21" t="s">
        <v>46</v>
      </c>
      <c r="D22" s="21" t="s">
        <v>46</v>
      </c>
      <c r="E22" s="21" t="s">
        <v>46</v>
      </c>
      <c r="F22" s="21" t="s">
        <v>46</v>
      </c>
      <c r="G22" s="21" t="s">
        <v>46</v>
      </c>
    </row>
    <row x14ac:dyDescent="0.25" r="23" customHeight="1" ht="17.25">
      <c r="A23" s="65"/>
      <c r="B23" s="29" t="s">
        <v>226</v>
      </c>
      <c r="C23" s="21" t="s">
        <v>46</v>
      </c>
      <c r="D23" s="21" t="s">
        <v>46</v>
      </c>
      <c r="E23" s="21" t="s">
        <v>46</v>
      </c>
      <c r="F23" s="21" t="s">
        <v>46</v>
      </c>
      <c r="G23" s="21" t="s">
        <v>46</v>
      </c>
    </row>
    <row x14ac:dyDescent="0.25" r="24" customHeight="1" ht="17.25">
      <c r="A24" s="65"/>
      <c r="B24" s="29" t="s">
        <v>281</v>
      </c>
      <c r="C24" s="21" t="s">
        <v>46</v>
      </c>
      <c r="D24" s="21" t="s">
        <v>46</v>
      </c>
      <c r="E24" s="21" t="s">
        <v>46</v>
      </c>
      <c r="F24" s="21" t="s">
        <v>46</v>
      </c>
      <c r="G24" s="21" t="s">
        <v>46</v>
      </c>
    </row>
    <row x14ac:dyDescent="0.25" r="25" customHeight="1" ht="17.25">
      <c r="A25" s="65"/>
      <c r="B25" s="29" t="s">
        <v>228</v>
      </c>
      <c r="C25" s="21" t="s">
        <v>46</v>
      </c>
      <c r="D25" s="21" t="s">
        <v>46</v>
      </c>
      <c r="E25" s="21" t="s">
        <v>46</v>
      </c>
      <c r="F25" s="21" t="s">
        <v>46</v>
      </c>
      <c r="G25" s="21" t="s">
        <v>46</v>
      </c>
    </row>
    <row x14ac:dyDescent="0.25" r="26" customHeight="1" ht="17.25">
      <c r="A26" s="65"/>
      <c r="B26" s="29" t="s">
        <v>229</v>
      </c>
      <c r="C26" s="21" t="s">
        <v>46</v>
      </c>
      <c r="D26" s="21" t="s">
        <v>46</v>
      </c>
      <c r="E26" s="21" t="s">
        <v>46</v>
      </c>
      <c r="F26" s="21" t="s">
        <v>46</v>
      </c>
      <c r="G26" s="21" t="s">
        <v>46</v>
      </c>
    </row>
    <row x14ac:dyDescent="0.25" r="27" customHeight="1" ht="17.25">
      <c r="A27" s="65"/>
      <c r="B27" s="29" t="s">
        <v>282</v>
      </c>
      <c r="C27" s="21" t="s">
        <v>47</v>
      </c>
      <c r="D27" s="21" t="s">
        <v>47</v>
      </c>
      <c r="E27" s="21" t="s">
        <v>47</v>
      </c>
      <c r="F27" s="21" t="s">
        <v>47</v>
      </c>
      <c r="G27" s="21" t="s">
        <v>47</v>
      </c>
    </row>
    <row x14ac:dyDescent="0.25" r="28" customHeight="1" ht="17.25">
      <c r="A28" s="66"/>
      <c r="B28" s="73" t="s">
        <v>283</v>
      </c>
      <c r="C28" s="68" t="s">
        <v>46</v>
      </c>
      <c r="D28" s="68" t="s">
        <v>46</v>
      </c>
      <c r="E28" s="68" t="s">
        <v>46</v>
      </c>
      <c r="F28" s="68" t="s">
        <v>46</v>
      </c>
      <c r="G28" s="68" t="s">
        <v>46</v>
      </c>
    </row>
    <row x14ac:dyDescent="0.25" r="29" customHeight="1" ht="17.25">
      <c r="A29" s="30" t="s">
        <v>64</v>
      </c>
      <c r="B29" s="31" t="s">
        <v>65</v>
      </c>
      <c r="C29" s="51" t="s">
        <v>46</v>
      </c>
      <c r="D29" s="51" t="s">
        <v>46</v>
      </c>
      <c r="E29" s="51" t="s">
        <v>46</v>
      </c>
      <c r="F29" s="51" t="s">
        <v>46</v>
      </c>
      <c r="G29" s="51" t="s">
        <v>47</v>
      </c>
    </row>
    <row x14ac:dyDescent="0.25" r="30" customHeight="1" ht="17.25">
      <c r="A30" s="32"/>
      <c r="B30" s="33" t="s">
        <v>66</v>
      </c>
      <c r="C30" s="21" t="s">
        <v>46</v>
      </c>
      <c r="D30" s="21" t="s">
        <v>47</v>
      </c>
      <c r="E30" s="21" t="s">
        <v>47</v>
      </c>
      <c r="F30" s="21" t="s">
        <v>47</v>
      </c>
      <c r="G30" s="21" t="s">
        <v>47</v>
      </c>
    </row>
    <row x14ac:dyDescent="0.25" r="31" customHeight="1" ht="17.25">
      <c r="A31" s="32"/>
      <c r="B31" s="33" t="s">
        <v>67</v>
      </c>
      <c r="C31" s="21" t="s">
        <v>46</v>
      </c>
      <c r="D31" s="21" t="s">
        <v>46</v>
      </c>
      <c r="E31" s="21" t="s">
        <v>46</v>
      </c>
      <c r="F31" s="21" t="s">
        <v>46</v>
      </c>
      <c r="G31" s="21" t="s">
        <v>46</v>
      </c>
    </row>
    <row x14ac:dyDescent="0.25" r="32" customHeight="1" ht="17.25">
      <c r="A32" s="32"/>
      <c r="B32" s="33" t="s">
        <v>68</v>
      </c>
      <c r="C32" s="21" t="s">
        <v>47</v>
      </c>
      <c r="D32" s="21" t="s">
        <v>46</v>
      </c>
      <c r="E32" s="21" t="s">
        <v>47</v>
      </c>
      <c r="F32" s="21" t="s">
        <v>47</v>
      </c>
      <c r="G32" s="21" t="s">
        <v>46</v>
      </c>
    </row>
    <row x14ac:dyDescent="0.25" r="33" customHeight="1" ht="17.25">
      <c r="A33" s="32"/>
      <c r="B33" s="33" t="s">
        <v>69</v>
      </c>
      <c r="C33" s="21" t="s">
        <v>46</v>
      </c>
      <c r="D33" s="21" t="s">
        <v>46</v>
      </c>
      <c r="E33" s="21" t="s">
        <v>46</v>
      </c>
      <c r="F33" s="21" t="s">
        <v>46</v>
      </c>
      <c r="G33" s="21" t="s">
        <v>46</v>
      </c>
    </row>
    <row x14ac:dyDescent="0.25" r="34" customHeight="1" ht="17.25">
      <c r="A34" s="32"/>
      <c r="B34" s="33" t="s">
        <v>70</v>
      </c>
      <c r="C34" s="21" t="s">
        <v>46</v>
      </c>
      <c r="D34" s="21" t="s">
        <v>46</v>
      </c>
      <c r="E34" s="21" t="s">
        <v>46</v>
      </c>
      <c r="F34" s="21" t="s">
        <v>46</v>
      </c>
      <c r="G34" s="21" t="s">
        <v>46</v>
      </c>
    </row>
    <row x14ac:dyDescent="0.25" r="35" customHeight="1" ht="17.25">
      <c r="A35" s="32"/>
      <c r="B35" s="33" t="s">
        <v>71</v>
      </c>
      <c r="C35" s="21" t="s">
        <v>46</v>
      </c>
      <c r="D35" s="21" t="s">
        <v>46</v>
      </c>
      <c r="E35" s="21" t="s">
        <v>46</v>
      </c>
      <c r="F35" s="21" t="s">
        <v>46</v>
      </c>
      <c r="G35" s="21" t="s">
        <v>46</v>
      </c>
    </row>
    <row x14ac:dyDescent="0.25" r="36" customHeight="1" ht="17.25">
      <c r="A36" s="32"/>
      <c r="B36" s="33" t="s">
        <v>72</v>
      </c>
      <c r="C36" s="21" t="s">
        <v>46</v>
      </c>
      <c r="D36" s="21" t="s">
        <v>46</v>
      </c>
      <c r="E36" s="21" t="s">
        <v>46</v>
      </c>
      <c r="F36" s="21" t="s">
        <v>46</v>
      </c>
      <c r="G36" s="21" t="s">
        <v>46</v>
      </c>
    </row>
    <row x14ac:dyDescent="0.25" r="37" customHeight="1" ht="17.25">
      <c r="A37" s="34" t="s">
        <v>73</v>
      </c>
      <c r="B37" s="35"/>
      <c r="C37" s="36">
        <f>COUNTIF(C17:C36,"○")/20*100</f>
      </c>
      <c r="D37" s="36">
        <f>COUNTIF(D17:D36,"○")/20*100</f>
      </c>
      <c r="E37" s="36">
        <f>COUNTIF(E17:E36,"○")/20*100</f>
      </c>
      <c r="F37" s="36">
        <f>COUNTIF(F17:F36,"○")/20*100</f>
      </c>
      <c r="G37" s="36">
        <f>COUNTIF(G17:G36,"○")/20*100</f>
      </c>
    </row>
    <row x14ac:dyDescent="0.25" r="38" customHeight="1" ht="115.95">
      <c r="A38" s="34" t="s">
        <v>74</v>
      </c>
      <c r="B38" s="35"/>
      <c r="C38" s="23" t="s">
        <v>332</v>
      </c>
      <c r="D38" s="23" t="s">
        <v>333</v>
      </c>
      <c r="E38" s="23" t="s">
        <v>334</v>
      </c>
      <c r="F38" s="23" t="s">
        <v>335</v>
      </c>
      <c r="G38" s="20" t="s">
        <v>336</v>
      </c>
    </row>
    <row x14ac:dyDescent="0.25" r="39" customHeight="1" ht="17.25">
      <c r="A39" s="4"/>
      <c r="B39" s="4"/>
      <c r="C39" s="52"/>
      <c r="D39" s="52"/>
      <c r="E39" s="52"/>
      <c r="F39" s="52"/>
      <c r="G39" s="52"/>
    </row>
    <row x14ac:dyDescent="0.25" r="40" customHeight="1" ht="17.25">
      <c r="A40" s="4"/>
      <c r="B40" s="4"/>
      <c r="C40" s="52"/>
      <c r="D40" s="52"/>
      <c r="E40" s="52"/>
      <c r="F40" s="52"/>
      <c r="G40" s="52"/>
    </row>
    <row x14ac:dyDescent="0.25" r="41" customHeight="1" ht="17.25">
      <c r="A41" s="6" t="s">
        <v>78</v>
      </c>
      <c r="B41" s="4"/>
      <c r="C41" s="52"/>
      <c r="D41" s="52"/>
      <c r="E41" s="52"/>
      <c r="F41" s="52"/>
      <c r="G41" s="52"/>
    </row>
    <row x14ac:dyDescent="0.25" r="42" customHeight="1" ht="17.25">
      <c r="A42" s="19" t="s">
        <v>7</v>
      </c>
      <c r="B42" s="19"/>
      <c r="C42" s="69" t="s">
        <v>288</v>
      </c>
      <c r="D42" s="69" t="s">
        <v>289</v>
      </c>
      <c r="E42" s="69" t="s">
        <v>290</v>
      </c>
      <c r="F42" s="69" t="s">
        <v>291</v>
      </c>
      <c r="G42" s="69" t="s">
        <v>292</v>
      </c>
    </row>
    <row x14ac:dyDescent="0.25" r="43" customHeight="1" ht="17.25">
      <c r="A43" s="22" t="s">
        <v>13</v>
      </c>
      <c r="B43" s="19" t="s">
        <v>14</v>
      </c>
      <c r="C43" s="20" t="s">
        <v>293</v>
      </c>
      <c r="D43" s="20" t="s">
        <v>294</v>
      </c>
      <c r="E43" s="20" t="s">
        <v>295</v>
      </c>
      <c r="F43" s="20" t="s">
        <v>296</v>
      </c>
      <c r="G43" s="20" t="s">
        <v>297</v>
      </c>
    </row>
    <row x14ac:dyDescent="0.25" r="44" customHeight="1" ht="17.25">
      <c r="A44" s="19"/>
      <c r="B44" s="19" t="s">
        <v>20</v>
      </c>
      <c r="C44" s="20" t="s">
        <v>298</v>
      </c>
      <c r="D44" s="20" t="s">
        <v>299</v>
      </c>
      <c r="E44" s="20" t="s">
        <v>300</v>
      </c>
      <c r="F44" s="20" t="s">
        <v>301</v>
      </c>
      <c r="G44" s="20" t="s">
        <v>302</v>
      </c>
    </row>
    <row x14ac:dyDescent="0.25" r="45" customHeight="1" ht="17.25">
      <c r="A45" s="7" t="s">
        <v>26</v>
      </c>
      <c r="B45" s="8"/>
      <c r="C45" s="23" t="s">
        <v>303</v>
      </c>
      <c r="D45" s="23" t="s">
        <v>304</v>
      </c>
      <c r="E45" s="23" t="s">
        <v>305</v>
      </c>
      <c r="F45" s="23" t="s">
        <v>306</v>
      </c>
      <c r="G45" s="23" t="s">
        <v>307</v>
      </c>
    </row>
    <row x14ac:dyDescent="0.25" r="46" customHeight="1" ht="17.25">
      <c r="A46" s="7" t="s">
        <v>32</v>
      </c>
      <c r="B46" s="8"/>
      <c r="C46" s="24" t="s">
        <v>337</v>
      </c>
      <c r="D46" s="24" t="s">
        <v>338</v>
      </c>
      <c r="E46" s="24" t="s">
        <v>339</v>
      </c>
      <c r="F46" s="24" t="s">
        <v>340</v>
      </c>
      <c r="G46" s="24" t="s">
        <v>341</v>
      </c>
    </row>
    <row x14ac:dyDescent="0.25" r="47" customHeight="1" ht="17.25">
      <c r="A47" s="58" t="s">
        <v>38</v>
      </c>
      <c r="B47" s="59"/>
      <c r="C47" s="60" t="s">
        <v>342</v>
      </c>
      <c r="D47" s="61" t="s">
        <v>343</v>
      </c>
      <c r="E47" s="61" t="s">
        <v>344</v>
      </c>
      <c r="F47" s="61" t="s">
        <v>345</v>
      </c>
      <c r="G47" s="60" t="s">
        <v>346</v>
      </c>
    </row>
    <row x14ac:dyDescent="0.25" r="48" customHeight="1" ht="17.25">
      <c r="A48" s="70" t="s">
        <v>44</v>
      </c>
      <c r="B48" s="72" t="s">
        <v>278</v>
      </c>
      <c r="C48" s="71" t="s">
        <v>47</v>
      </c>
      <c r="D48" s="71" t="s">
        <v>47</v>
      </c>
      <c r="E48" s="71" t="s">
        <v>46</v>
      </c>
      <c r="F48" s="71" t="s">
        <v>47</v>
      </c>
      <c r="G48" s="71" t="s">
        <v>46</v>
      </c>
    </row>
    <row x14ac:dyDescent="0.25" r="49" customHeight="1" ht="17.25">
      <c r="A49" s="65"/>
      <c r="B49" s="29" t="s">
        <v>151</v>
      </c>
      <c r="C49" s="21" t="s">
        <v>46</v>
      </c>
      <c r="D49" s="21" t="s">
        <v>46</v>
      </c>
      <c r="E49" s="21" t="s">
        <v>46</v>
      </c>
      <c r="F49" s="21" t="s">
        <v>46</v>
      </c>
      <c r="G49" s="21" t="s">
        <v>46</v>
      </c>
    </row>
    <row x14ac:dyDescent="0.25" r="50" customHeight="1" ht="17.25">
      <c r="A50" s="65"/>
      <c r="B50" s="29" t="s">
        <v>196</v>
      </c>
      <c r="C50" s="21" t="s">
        <v>46</v>
      </c>
      <c r="D50" s="21" t="s">
        <v>46</v>
      </c>
      <c r="E50" s="21" t="s">
        <v>46</v>
      </c>
      <c r="F50" s="21" t="s">
        <v>46</v>
      </c>
      <c r="G50" s="21" t="s">
        <v>46</v>
      </c>
    </row>
    <row x14ac:dyDescent="0.25" r="51" customHeight="1" ht="17.25">
      <c r="A51" s="65"/>
      <c r="B51" s="29" t="s">
        <v>279</v>
      </c>
      <c r="C51" s="21" t="s">
        <v>46</v>
      </c>
      <c r="D51" s="21" t="s">
        <v>46</v>
      </c>
      <c r="E51" s="21" t="s">
        <v>46</v>
      </c>
      <c r="F51" s="21" t="s">
        <v>46</v>
      </c>
      <c r="G51" s="21" t="s">
        <v>46</v>
      </c>
    </row>
    <row x14ac:dyDescent="0.25" r="52" customHeight="1" ht="17.25">
      <c r="A52" s="65"/>
      <c r="B52" s="29" t="s">
        <v>51</v>
      </c>
      <c r="C52" s="21" t="s">
        <v>46</v>
      </c>
      <c r="D52" s="21" t="s">
        <v>46</v>
      </c>
      <c r="E52" s="21" t="s">
        <v>46</v>
      </c>
      <c r="F52" s="21" t="s">
        <v>46</v>
      </c>
      <c r="G52" s="21" t="s">
        <v>46</v>
      </c>
    </row>
    <row x14ac:dyDescent="0.25" r="53" customHeight="1" ht="17.25">
      <c r="A53" s="65"/>
      <c r="B53" s="29" t="s">
        <v>280</v>
      </c>
      <c r="C53" s="21" t="s">
        <v>46</v>
      </c>
      <c r="D53" s="21" t="s">
        <v>46</v>
      </c>
      <c r="E53" s="21" t="s">
        <v>46</v>
      </c>
      <c r="F53" s="21" t="s">
        <v>46</v>
      </c>
      <c r="G53" s="21" t="s">
        <v>46</v>
      </c>
    </row>
    <row x14ac:dyDescent="0.25" r="54" customHeight="1" ht="17.25">
      <c r="A54" s="65"/>
      <c r="B54" s="29" t="s">
        <v>226</v>
      </c>
      <c r="C54" s="21" t="s">
        <v>46</v>
      </c>
      <c r="D54" s="21" t="s">
        <v>46</v>
      </c>
      <c r="E54" s="21" t="s">
        <v>46</v>
      </c>
      <c r="F54" s="21" t="s">
        <v>46</v>
      </c>
      <c r="G54" s="21" t="s">
        <v>46</v>
      </c>
    </row>
    <row x14ac:dyDescent="0.25" r="55" customHeight="1" ht="17.25">
      <c r="A55" s="65"/>
      <c r="B55" s="29" t="s">
        <v>281</v>
      </c>
      <c r="C55" s="21" t="s">
        <v>46</v>
      </c>
      <c r="D55" s="21" t="s">
        <v>46</v>
      </c>
      <c r="E55" s="21" t="s">
        <v>46</v>
      </c>
      <c r="F55" s="21" t="s">
        <v>46</v>
      </c>
      <c r="G55" s="21" t="s">
        <v>46</v>
      </c>
    </row>
    <row x14ac:dyDescent="0.25" r="56" customHeight="1" ht="17.25">
      <c r="A56" s="65"/>
      <c r="B56" s="29" t="s">
        <v>228</v>
      </c>
      <c r="C56" s="21" t="s">
        <v>46</v>
      </c>
      <c r="D56" s="21" t="s">
        <v>46</v>
      </c>
      <c r="E56" s="21" t="s">
        <v>46</v>
      </c>
      <c r="F56" s="21" t="s">
        <v>46</v>
      </c>
      <c r="G56" s="21" t="s">
        <v>46</v>
      </c>
    </row>
    <row x14ac:dyDescent="0.25" r="57" customHeight="1" ht="17.25">
      <c r="A57" s="65"/>
      <c r="B57" s="29" t="s">
        <v>229</v>
      </c>
      <c r="C57" s="21" t="s">
        <v>46</v>
      </c>
      <c r="D57" s="21" t="s">
        <v>46</v>
      </c>
      <c r="E57" s="21" t="s">
        <v>46</v>
      </c>
      <c r="F57" s="21" t="s">
        <v>46</v>
      </c>
      <c r="G57" s="21" t="s">
        <v>46</v>
      </c>
    </row>
    <row x14ac:dyDescent="0.25" r="58" customHeight="1" ht="17.25">
      <c r="A58" s="65"/>
      <c r="B58" s="29" t="s">
        <v>282</v>
      </c>
      <c r="C58" s="21" t="s">
        <v>47</v>
      </c>
      <c r="D58" s="21" t="s">
        <v>47</v>
      </c>
      <c r="E58" s="21" t="s">
        <v>46</v>
      </c>
      <c r="F58" s="21" t="s">
        <v>47</v>
      </c>
      <c r="G58" s="21" t="s">
        <v>46</v>
      </c>
    </row>
    <row x14ac:dyDescent="0.25" r="59" customHeight="1" ht="17.25">
      <c r="A59" s="66"/>
      <c r="B59" s="73" t="s">
        <v>283</v>
      </c>
      <c r="C59" s="68" t="s">
        <v>46</v>
      </c>
      <c r="D59" s="68" t="s">
        <v>46</v>
      </c>
      <c r="E59" s="68" t="s">
        <v>46</v>
      </c>
      <c r="F59" s="68" t="s">
        <v>46</v>
      </c>
      <c r="G59" s="68" t="s">
        <v>46</v>
      </c>
    </row>
    <row x14ac:dyDescent="0.25" r="60" customHeight="1" ht="17.25">
      <c r="A60" s="30" t="s">
        <v>64</v>
      </c>
      <c r="B60" s="31" t="s">
        <v>65</v>
      </c>
      <c r="C60" s="51" t="s">
        <v>47</v>
      </c>
      <c r="D60" s="51" t="s">
        <v>47</v>
      </c>
      <c r="E60" s="51" t="s">
        <v>47</v>
      </c>
      <c r="F60" s="51" t="s">
        <v>47</v>
      </c>
      <c r="G60" s="51" t="s">
        <v>47</v>
      </c>
    </row>
    <row x14ac:dyDescent="0.25" r="61" customHeight="1" ht="17.25">
      <c r="A61" s="32"/>
      <c r="B61" s="33" t="s">
        <v>66</v>
      </c>
      <c r="C61" s="21" t="s">
        <v>47</v>
      </c>
      <c r="D61" s="21" t="s">
        <v>47</v>
      </c>
      <c r="E61" s="21" t="s">
        <v>47</v>
      </c>
      <c r="F61" s="21" t="s">
        <v>46</v>
      </c>
      <c r="G61" s="21" t="s">
        <v>47</v>
      </c>
    </row>
    <row x14ac:dyDescent="0.25" r="62" customHeight="1" ht="17.25">
      <c r="A62" s="32"/>
      <c r="B62" s="33" t="s">
        <v>67</v>
      </c>
      <c r="C62" s="21" t="s">
        <v>46</v>
      </c>
      <c r="D62" s="21" t="s">
        <v>46</v>
      </c>
      <c r="E62" s="21" t="s">
        <v>46</v>
      </c>
      <c r="F62" s="21" t="s">
        <v>46</v>
      </c>
      <c r="G62" s="21" t="s">
        <v>46</v>
      </c>
    </row>
    <row x14ac:dyDescent="0.25" r="63" customHeight="1" ht="17.25">
      <c r="A63" s="32"/>
      <c r="B63" s="33" t="s">
        <v>68</v>
      </c>
      <c r="C63" s="21" t="s">
        <v>47</v>
      </c>
      <c r="D63" s="21" t="s">
        <v>47</v>
      </c>
      <c r="E63" s="21" t="s">
        <v>47</v>
      </c>
      <c r="F63" s="21" t="s">
        <v>46</v>
      </c>
      <c r="G63" s="21" t="s">
        <v>47</v>
      </c>
    </row>
    <row x14ac:dyDescent="0.25" r="64" customHeight="1" ht="17.25">
      <c r="A64" s="32"/>
      <c r="B64" s="33" t="s">
        <v>69</v>
      </c>
      <c r="C64" s="21" t="s">
        <v>46</v>
      </c>
      <c r="D64" s="21" t="s">
        <v>46</v>
      </c>
      <c r="E64" s="21" t="s">
        <v>46</v>
      </c>
      <c r="F64" s="21" t="s">
        <v>46</v>
      </c>
      <c r="G64" s="21" t="s">
        <v>46</v>
      </c>
    </row>
    <row x14ac:dyDescent="0.25" r="65" customHeight="1" ht="17.25">
      <c r="A65" s="32"/>
      <c r="B65" s="33" t="s">
        <v>70</v>
      </c>
      <c r="C65" s="21" t="s">
        <v>46</v>
      </c>
      <c r="D65" s="21" t="s">
        <v>46</v>
      </c>
      <c r="E65" s="21" t="s">
        <v>46</v>
      </c>
      <c r="F65" s="21" t="s">
        <v>46</v>
      </c>
      <c r="G65" s="21" t="s">
        <v>46</v>
      </c>
    </row>
    <row x14ac:dyDescent="0.25" r="66" customHeight="1" ht="17.25">
      <c r="A66" s="32"/>
      <c r="B66" s="33" t="s">
        <v>71</v>
      </c>
      <c r="C66" s="21" t="s">
        <v>46</v>
      </c>
      <c r="D66" s="21" t="s">
        <v>46</v>
      </c>
      <c r="E66" s="21" t="s">
        <v>46</v>
      </c>
      <c r="F66" s="21" t="s">
        <v>46</v>
      </c>
      <c r="G66" s="21" t="s">
        <v>46</v>
      </c>
    </row>
    <row x14ac:dyDescent="0.25" r="67" customHeight="1" ht="17.25">
      <c r="A67" s="32"/>
      <c r="B67" s="33" t="s">
        <v>72</v>
      </c>
      <c r="C67" s="21" t="s">
        <v>46</v>
      </c>
      <c r="D67" s="21" t="s">
        <v>46</v>
      </c>
      <c r="E67" s="21" t="s">
        <v>46</v>
      </c>
      <c r="F67" s="21" t="s">
        <v>46</v>
      </c>
      <c r="G67" s="21" t="s">
        <v>46</v>
      </c>
    </row>
    <row x14ac:dyDescent="0.25" r="68" customHeight="1" ht="17.25">
      <c r="A68" s="34" t="s">
        <v>73</v>
      </c>
      <c r="B68" s="35"/>
      <c r="C68" s="36">
        <f>COUNTIF(C48:C67,"○")/20*100</f>
      </c>
      <c r="D68" s="36">
        <f>COUNTIF(D48:D67,"○")/20*100</f>
      </c>
      <c r="E68" s="36">
        <f>COUNTIF(E48:E67,"○")/20*100</f>
      </c>
      <c r="F68" s="36">
        <f>COUNTIF(F48:F67,"○")/20*100</f>
      </c>
      <c r="G68" s="36">
        <f>COUNTIF(G48:G67,"○")/20*100</f>
      </c>
    </row>
    <row x14ac:dyDescent="0.25" r="69" customHeight="1" ht="115.95">
      <c r="A69" s="34" t="s">
        <v>74</v>
      </c>
      <c r="B69" s="35"/>
      <c r="C69" s="23" t="s">
        <v>347</v>
      </c>
      <c r="D69" s="23" t="s">
        <v>348</v>
      </c>
      <c r="E69" s="23" t="s">
        <v>349</v>
      </c>
      <c r="F69" s="23" t="s">
        <v>350</v>
      </c>
      <c r="G69" s="20" t="s">
        <v>351</v>
      </c>
    </row>
  </sheetData>
  <mergeCells count="21">
    <mergeCell ref="A4:B4"/>
    <mergeCell ref="A5:B7"/>
    <mergeCell ref="C5:C7"/>
    <mergeCell ref="A11:B11"/>
    <mergeCell ref="A12:A13"/>
    <mergeCell ref="A14:B14"/>
    <mergeCell ref="A15:B15"/>
    <mergeCell ref="A16:B16"/>
    <mergeCell ref="A17:A28"/>
    <mergeCell ref="A29:A36"/>
    <mergeCell ref="A37:B37"/>
    <mergeCell ref="A38:B38"/>
    <mergeCell ref="A42:B42"/>
    <mergeCell ref="A43:A44"/>
    <mergeCell ref="A45:B45"/>
    <mergeCell ref="A46:B46"/>
    <mergeCell ref="A47:B47"/>
    <mergeCell ref="A48:A59"/>
    <mergeCell ref="A60:A67"/>
    <mergeCell ref="A68:B68"/>
    <mergeCell ref="A69:B6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73"/>
  <sheetViews>
    <sheetView workbookViewId="0"/>
  </sheetViews>
  <sheetFormatPr defaultRowHeight="15" x14ac:dyDescent="0.25"/>
  <cols>
    <col min="1" max="1" style="48" width="22.14785714285714" customWidth="1" bestFit="1"/>
    <col min="2" max="2" style="48" width="46.14785714285715" customWidth="1" bestFit="1"/>
    <col min="3" max="3" style="57" width="99.7192857142857" customWidth="1" bestFit="1"/>
    <col min="4" max="4" style="57" width="99.7192857142857" customWidth="1" bestFit="1"/>
    <col min="5" max="5" style="57" width="99.7192857142857" customWidth="1" bestFit="1"/>
    <col min="6" max="6" style="57" width="99.7192857142857" customWidth="1" bestFit="1"/>
    <col min="7" max="7" style="57" width="99.7192857142857" customWidth="1" bestFit="1"/>
  </cols>
  <sheetData>
    <row x14ac:dyDescent="0.25" r="1" customHeight="1" ht="17.25">
      <c r="A1" s="1" t="s">
        <v>245</v>
      </c>
      <c r="B1" s="1"/>
      <c r="C1" s="2"/>
      <c r="D1" s="52"/>
      <c r="E1" s="52"/>
      <c r="F1" s="52"/>
      <c r="G1" s="52"/>
    </row>
    <row x14ac:dyDescent="0.25" r="2" customHeight="1" ht="17.25">
      <c r="A2" s="4"/>
      <c r="B2" s="4"/>
      <c r="C2" s="52"/>
      <c r="D2" s="52"/>
      <c r="E2" s="52"/>
      <c r="F2" s="52"/>
      <c r="G2" s="52"/>
    </row>
    <row x14ac:dyDescent="0.25" r="3" customHeight="1" ht="17.25">
      <c r="A3" s="6" t="s">
        <v>1</v>
      </c>
      <c r="B3" s="4"/>
      <c r="C3" s="52"/>
      <c r="D3" s="52"/>
      <c r="E3" s="52"/>
      <c r="F3" s="52"/>
      <c r="G3" s="52"/>
    </row>
    <row x14ac:dyDescent="0.25" r="4" customHeight="1" ht="17.25">
      <c r="A4" s="7" t="s">
        <v>2</v>
      </c>
      <c r="B4" s="8"/>
      <c r="C4" s="53" t="s">
        <v>246</v>
      </c>
      <c r="D4" s="52"/>
      <c r="E4" s="52"/>
      <c r="F4" s="52"/>
      <c r="G4" s="52"/>
    </row>
    <row x14ac:dyDescent="0.25" r="5" customHeight="1" ht="409.2">
      <c r="A5" s="10" t="s">
        <v>4</v>
      </c>
      <c r="B5" s="11"/>
      <c r="C5" s="54" t="s">
        <v>247</v>
      </c>
      <c r="D5" s="52"/>
      <c r="E5" s="52"/>
      <c r="F5" s="52"/>
      <c r="G5" s="52"/>
    </row>
    <row x14ac:dyDescent="0.25" r="6" customHeight="1" ht="288">
      <c r="A6" s="13"/>
      <c r="B6" s="14"/>
      <c r="C6" s="55"/>
      <c r="D6" s="52"/>
      <c r="E6" s="52"/>
      <c r="F6" s="52"/>
      <c r="G6" s="52"/>
    </row>
    <row x14ac:dyDescent="0.25" r="7" customHeight="1" ht="363.6000000000001">
      <c r="A7" s="16"/>
      <c r="B7" s="17"/>
      <c r="C7" s="56"/>
      <c r="D7" s="52"/>
      <c r="E7" s="52"/>
      <c r="F7" s="52"/>
      <c r="G7" s="52"/>
    </row>
    <row x14ac:dyDescent="0.25" r="8" customHeight="1" ht="17.25">
      <c r="A8" s="4"/>
      <c r="B8" s="4"/>
      <c r="C8" s="52"/>
      <c r="D8" s="52"/>
      <c r="E8" s="52"/>
      <c r="F8" s="52"/>
      <c r="G8" s="52"/>
    </row>
    <row x14ac:dyDescent="0.25" r="9" customHeight="1" ht="17.25">
      <c r="A9" s="4"/>
      <c r="B9" s="4"/>
      <c r="C9" s="52"/>
      <c r="D9" s="52"/>
      <c r="E9" s="52"/>
      <c r="F9" s="52"/>
      <c r="G9" s="52"/>
    </row>
    <row x14ac:dyDescent="0.25" r="10" customHeight="1" ht="17.25">
      <c r="A10" s="6" t="s">
        <v>6</v>
      </c>
      <c r="B10" s="4"/>
      <c r="C10" s="52"/>
      <c r="D10" s="52"/>
      <c r="E10" s="52"/>
      <c r="F10" s="52"/>
      <c r="G10" s="52"/>
    </row>
    <row x14ac:dyDescent="0.25" r="11" customHeight="1" ht="17.25">
      <c r="A11" s="19" t="s">
        <v>7</v>
      </c>
      <c r="B11" s="19"/>
      <c r="C11" s="20" t="s">
        <v>248</v>
      </c>
      <c r="D11" s="21" t="s">
        <v>249</v>
      </c>
      <c r="E11" s="20" t="s">
        <v>250</v>
      </c>
      <c r="F11" s="21" t="s">
        <v>251</v>
      </c>
      <c r="G11" s="20" t="s">
        <v>252</v>
      </c>
    </row>
    <row x14ac:dyDescent="0.25" r="12" customHeight="1" ht="17.25">
      <c r="A12" s="22" t="s">
        <v>13</v>
      </c>
      <c r="B12" s="19" t="s">
        <v>14</v>
      </c>
      <c r="C12" s="20" t="s">
        <v>253</v>
      </c>
      <c r="D12" s="20" t="s">
        <v>254</v>
      </c>
      <c r="E12" s="20" t="s">
        <v>255</v>
      </c>
      <c r="F12" s="20" t="s">
        <v>256</v>
      </c>
      <c r="G12" s="20" t="s">
        <v>257</v>
      </c>
    </row>
    <row x14ac:dyDescent="0.25" r="13" customHeight="1" ht="17.25">
      <c r="A13" s="19"/>
      <c r="B13" s="19" t="s">
        <v>20</v>
      </c>
      <c r="C13" s="20" t="s">
        <v>258</v>
      </c>
      <c r="D13" s="20" t="s">
        <v>259</v>
      </c>
      <c r="E13" s="20" t="s">
        <v>260</v>
      </c>
      <c r="F13" s="20" t="s">
        <v>261</v>
      </c>
      <c r="G13" s="20" t="s">
        <v>262</v>
      </c>
    </row>
    <row x14ac:dyDescent="0.25" r="14" customHeight="1" ht="17.25">
      <c r="A14" s="7" t="s">
        <v>26</v>
      </c>
      <c r="B14" s="8"/>
      <c r="C14" s="23" t="s">
        <v>263</v>
      </c>
      <c r="D14" s="23" t="s">
        <v>264</v>
      </c>
      <c r="E14" s="23" t="s">
        <v>265</v>
      </c>
      <c r="F14" s="23" t="s">
        <v>266</v>
      </c>
      <c r="G14" s="23" t="s">
        <v>267</v>
      </c>
    </row>
    <row x14ac:dyDescent="0.25" r="15" customHeight="1" ht="17.25">
      <c r="A15" s="7" t="s">
        <v>32</v>
      </c>
      <c r="B15" s="8"/>
      <c r="C15" s="24" t="s">
        <v>268</v>
      </c>
      <c r="D15" s="24" t="s">
        <v>269</v>
      </c>
      <c r="E15" s="24" t="s">
        <v>270</v>
      </c>
      <c r="F15" s="24" t="s">
        <v>271</v>
      </c>
      <c r="G15" s="24" t="s">
        <v>272</v>
      </c>
    </row>
    <row x14ac:dyDescent="0.25" r="16" customHeight="1" ht="17.25">
      <c r="A16" s="58" t="s">
        <v>38</v>
      </c>
      <c r="B16" s="59"/>
      <c r="C16" s="60" t="s">
        <v>273</v>
      </c>
      <c r="D16" s="61" t="s">
        <v>274</v>
      </c>
      <c r="E16" s="61" t="s">
        <v>275</v>
      </c>
      <c r="F16" s="61" t="s">
        <v>276</v>
      </c>
      <c r="G16" s="60" t="s">
        <v>277</v>
      </c>
    </row>
    <row x14ac:dyDescent="0.25" r="17" customHeight="1" ht="17.25">
      <c r="A17" s="62" t="s">
        <v>44</v>
      </c>
      <c r="B17" s="63" t="s">
        <v>278</v>
      </c>
      <c r="C17" s="64" t="s">
        <v>47</v>
      </c>
      <c r="D17" s="64" t="s">
        <v>47</v>
      </c>
      <c r="E17" s="64" t="s">
        <v>47</v>
      </c>
      <c r="F17" s="64" t="s">
        <v>47</v>
      </c>
      <c r="G17" s="64" t="s">
        <v>47</v>
      </c>
    </row>
    <row x14ac:dyDescent="0.25" r="18" customHeight="1" ht="17.25">
      <c r="A18" s="65"/>
      <c r="B18" s="29" t="s">
        <v>151</v>
      </c>
      <c r="C18" s="21" t="s">
        <v>46</v>
      </c>
      <c r="D18" s="21" t="s">
        <v>46</v>
      </c>
      <c r="E18" s="21" t="s">
        <v>46</v>
      </c>
      <c r="F18" s="21" t="s">
        <v>46</v>
      </c>
      <c r="G18" s="21" t="s">
        <v>46</v>
      </c>
    </row>
    <row x14ac:dyDescent="0.25" r="19" customHeight="1" ht="17.25">
      <c r="A19" s="65"/>
      <c r="B19" s="29" t="s">
        <v>196</v>
      </c>
      <c r="C19" s="21" t="s">
        <v>46</v>
      </c>
      <c r="D19" s="21" t="s">
        <v>46</v>
      </c>
      <c r="E19" s="21" t="s">
        <v>46</v>
      </c>
      <c r="F19" s="21" t="s">
        <v>46</v>
      </c>
      <c r="G19" s="21" t="s">
        <v>46</v>
      </c>
    </row>
    <row x14ac:dyDescent="0.25" r="20" customHeight="1" ht="17.25">
      <c r="A20" s="65"/>
      <c r="B20" s="29" t="s">
        <v>279</v>
      </c>
      <c r="C20" s="21" t="s">
        <v>46</v>
      </c>
      <c r="D20" s="21" t="s">
        <v>46</v>
      </c>
      <c r="E20" s="21" t="s">
        <v>46</v>
      </c>
      <c r="F20" s="21" t="s">
        <v>46</v>
      </c>
      <c r="G20" s="21" t="s">
        <v>46</v>
      </c>
    </row>
    <row x14ac:dyDescent="0.25" r="21" customHeight="1" ht="17.25">
      <c r="A21" s="65"/>
      <c r="B21" s="29" t="s">
        <v>51</v>
      </c>
      <c r="C21" s="21" t="s">
        <v>46</v>
      </c>
      <c r="D21" s="21" t="s">
        <v>46</v>
      </c>
      <c r="E21" s="21" t="s">
        <v>46</v>
      </c>
      <c r="F21" s="21" t="s">
        <v>46</v>
      </c>
      <c r="G21" s="21" t="s">
        <v>46</v>
      </c>
    </row>
    <row x14ac:dyDescent="0.25" r="22" customHeight="1" ht="17.25">
      <c r="A22" s="65"/>
      <c r="B22" s="29" t="s">
        <v>280</v>
      </c>
      <c r="C22" s="21" t="s">
        <v>46</v>
      </c>
      <c r="D22" s="21" t="s">
        <v>46</v>
      </c>
      <c r="E22" s="21" t="s">
        <v>46</v>
      </c>
      <c r="F22" s="21" t="s">
        <v>46</v>
      </c>
      <c r="G22" s="21" t="s">
        <v>46</v>
      </c>
    </row>
    <row x14ac:dyDescent="0.25" r="23" customHeight="1" ht="17.25">
      <c r="A23" s="65"/>
      <c r="B23" s="29" t="s">
        <v>226</v>
      </c>
      <c r="C23" s="21" t="s">
        <v>46</v>
      </c>
      <c r="D23" s="21" t="s">
        <v>46</v>
      </c>
      <c r="E23" s="21" t="s">
        <v>46</v>
      </c>
      <c r="F23" s="21" t="s">
        <v>46</v>
      </c>
      <c r="G23" s="21" t="s">
        <v>46</v>
      </c>
    </row>
    <row x14ac:dyDescent="0.25" r="24" customHeight="1" ht="17.25">
      <c r="A24" s="65"/>
      <c r="B24" s="29" t="s">
        <v>281</v>
      </c>
      <c r="C24" s="21" t="s">
        <v>46</v>
      </c>
      <c r="D24" s="21" t="s">
        <v>46</v>
      </c>
      <c r="E24" s="21" t="s">
        <v>46</v>
      </c>
      <c r="F24" s="21" t="s">
        <v>46</v>
      </c>
      <c r="G24" s="21" t="s">
        <v>46</v>
      </c>
    </row>
    <row x14ac:dyDescent="0.25" r="25" customHeight="1" ht="17.25">
      <c r="A25" s="65"/>
      <c r="B25" s="29" t="s">
        <v>228</v>
      </c>
      <c r="C25" s="21" t="s">
        <v>46</v>
      </c>
      <c r="D25" s="21" t="s">
        <v>46</v>
      </c>
      <c r="E25" s="21" t="s">
        <v>46</v>
      </c>
      <c r="F25" s="21" t="s">
        <v>46</v>
      </c>
      <c r="G25" s="21" t="s">
        <v>46</v>
      </c>
    </row>
    <row x14ac:dyDescent="0.25" r="26" customHeight="1" ht="17.25">
      <c r="A26" s="65"/>
      <c r="B26" s="29" t="s">
        <v>229</v>
      </c>
      <c r="C26" s="21" t="s">
        <v>46</v>
      </c>
      <c r="D26" s="21" t="s">
        <v>46</v>
      </c>
      <c r="E26" s="21" t="s">
        <v>46</v>
      </c>
      <c r="F26" s="21" t="s">
        <v>46</v>
      </c>
      <c r="G26" s="21" t="s">
        <v>46</v>
      </c>
    </row>
    <row x14ac:dyDescent="0.25" r="27" customHeight="1" ht="17.25">
      <c r="A27" s="65"/>
      <c r="B27" s="29" t="s">
        <v>282</v>
      </c>
      <c r="C27" s="21" t="s">
        <v>47</v>
      </c>
      <c r="D27" s="21" t="s">
        <v>47</v>
      </c>
      <c r="E27" s="21" t="s">
        <v>47</v>
      </c>
      <c r="F27" s="21" t="s">
        <v>47</v>
      </c>
      <c r="G27" s="21" t="s">
        <v>47</v>
      </c>
    </row>
    <row x14ac:dyDescent="0.25" r="28" customHeight="1" ht="17.25">
      <c r="A28" s="65"/>
      <c r="B28" s="29" t="s">
        <v>283</v>
      </c>
      <c r="C28" s="21" t="s">
        <v>46</v>
      </c>
      <c r="D28" s="21" t="s">
        <v>46</v>
      </c>
      <c r="E28" s="21" t="s">
        <v>46</v>
      </c>
      <c r="F28" s="21" t="s">
        <v>46</v>
      </c>
      <c r="G28" s="21" t="s">
        <v>46</v>
      </c>
    </row>
    <row x14ac:dyDescent="0.25" r="29" customHeight="1" ht="17.25">
      <c r="A29" s="65"/>
      <c r="B29" s="29" t="s">
        <v>284</v>
      </c>
      <c r="C29" s="21" t="s">
        <v>46</v>
      </c>
      <c r="D29" s="21" t="s">
        <v>46</v>
      </c>
      <c r="E29" s="21" t="s">
        <v>46</v>
      </c>
      <c r="F29" s="21" t="s">
        <v>46</v>
      </c>
      <c r="G29" s="21" t="s">
        <v>46</v>
      </c>
    </row>
    <row x14ac:dyDescent="0.25" r="30" customHeight="1" ht="17.25">
      <c r="A30" s="66"/>
      <c r="B30" s="67" t="s">
        <v>285</v>
      </c>
      <c r="C30" s="68" t="s">
        <v>46</v>
      </c>
      <c r="D30" s="68" t="s">
        <v>46</v>
      </c>
      <c r="E30" s="68" t="s">
        <v>46</v>
      </c>
      <c r="F30" s="68" t="s">
        <v>46</v>
      </c>
      <c r="G30" s="68" t="s">
        <v>46</v>
      </c>
    </row>
    <row x14ac:dyDescent="0.25" r="31" customHeight="1" ht="17.25">
      <c r="A31" s="30" t="s">
        <v>64</v>
      </c>
      <c r="B31" s="31" t="s">
        <v>65</v>
      </c>
      <c r="C31" s="51" t="s">
        <v>46</v>
      </c>
      <c r="D31" s="51" t="s">
        <v>46</v>
      </c>
      <c r="E31" s="51" t="s">
        <v>47</v>
      </c>
      <c r="F31" s="51" t="s">
        <v>46</v>
      </c>
      <c r="G31" s="51" t="s">
        <v>46</v>
      </c>
    </row>
    <row x14ac:dyDescent="0.25" r="32" customHeight="1" ht="17.25">
      <c r="A32" s="32"/>
      <c r="B32" s="33" t="s">
        <v>66</v>
      </c>
      <c r="C32" s="21" t="s">
        <v>46</v>
      </c>
      <c r="D32" s="21" t="s">
        <v>46</v>
      </c>
      <c r="E32" s="21" t="s">
        <v>46</v>
      </c>
      <c r="F32" s="21" t="s">
        <v>46</v>
      </c>
      <c r="G32" s="21" t="s">
        <v>46</v>
      </c>
    </row>
    <row x14ac:dyDescent="0.25" r="33" customHeight="1" ht="17.25">
      <c r="A33" s="32"/>
      <c r="B33" s="33" t="s">
        <v>67</v>
      </c>
      <c r="C33" s="21" t="s">
        <v>47</v>
      </c>
      <c r="D33" s="21" t="s">
        <v>46</v>
      </c>
      <c r="E33" s="21" t="s">
        <v>46</v>
      </c>
      <c r="F33" s="21" t="s">
        <v>46</v>
      </c>
      <c r="G33" s="21" t="s">
        <v>46</v>
      </c>
    </row>
    <row x14ac:dyDescent="0.25" r="34" customHeight="1" ht="17.25">
      <c r="A34" s="32"/>
      <c r="B34" s="33" t="s">
        <v>68</v>
      </c>
      <c r="C34" s="21" t="s">
        <v>46</v>
      </c>
      <c r="D34" s="21" t="s">
        <v>46</v>
      </c>
      <c r="E34" s="21" t="s">
        <v>46</v>
      </c>
      <c r="F34" s="21" t="s">
        <v>46</v>
      </c>
      <c r="G34" s="21" t="s">
        <v>46</v>
      </c>
    </row>
    <row x14ac:dyDescent="0.25" r="35" customHeight="1" ht="17.25">
      <c r="A35" s="32"/>
      <c r="B35" s="33" t="s">
        <v>69</v>
      </c>
      <c r="C35" s="21" t="s">
        <v>46</v>
      </c>
      <c r="D35" s="21" t="s">
        <v>46</v>
      </c>
      <c r="E35" s="21" t="s">
        <v>47</v>
      </c>
      <c r="F35" s="21" t="s">
        <v>46</v>
      </c>
      <c r="G35" s="21" t="s">
        <v>46</v>
      </c>
    </row>
    <row x14ac:dyDescent="0.25" r="36" customHeight="1" ht="17.25">
      <c r="A36" s="32"/>
      <c r="B36" s="33" t="s">
        <v>70</v>
      </c>
      <c r="C36" s="21" t="s">
        <v>46</v>
      </c>
      <c r="D36" s="21" t="s">
        <v>46</v>
      </c>
      <c r="E36" s="21" t="s">
        <v>46</v>
      </c>
      <c r="F36" s="21" t="s">
        <v>46</v>
      </c>
      <c r="G36" s="21" t="s">
        <v>46</v>
      </c>
    </row>
    <row x14ac:dyDescent="0.25" r="37" customHeight="1" ht="17.25">
      <c r="A37" s="32"/>
      <c r="B37" s="33" t="s">
        <v>71</v>
      </c>
      <c r="C37" s="21" t="s">
        <v>46</v>
      </c>
      <c r="D37" s="21" t="s">
        <v>46</v>
      </c>
      <c r="E37" s="21" t="s">
        <v>46</v>
      </c>
      <c r="F37" s="21" t="s">
        <v>46</v>
      </c>
      <c r="G37" s="21" t="s">
        <v>46</v>
      </c>
    </row>
    <row x14ac:dyDescent="0.25" r="38" customHeight="1" ht="17.25">
      <c r="A38" s="32"/>
      <c r="B38" s="33" t="s">
        <v>72</v>
      </c>
      <c r="C38" s="21" t="s">
        <v>46</v>
      </c>
      <c r="D38" s="21" t="s">
        <v>46</v>
      </c>
      <c r="E38" s="21" t="s">
        <v>46</v>
      </c>
      <c r="F38" s="21" t="s">
        <v>46</v>
      </c>
      <c r="G38" s="21" t="s">
        <v>46</v>
      </c>
    </row>
    <row x14ac:dyDescent="0.25" r="39" customHeight="1" ht="17.25">
      <c r="A39" s="34" t="s">
        <v>73</v>
      </c>
      <c r="B39" s="35"/>
      <c r="C39" s="36">
        <f>COUNTIF(C17:C38,"○")/22*100</f>
      </c>
      <c r="D39" s="36">
        <f>COUNTIF(D17:D38,"○")/22*100</f>
      </c>
      <c r="E39" s="36">
        <f>COUNTIF(E17:E38,"○")/22*100</f>
      </c>
      <c r="F39" s="36">
        <f>COUNTIF(F17:F38,"○")/22*100</f>
      </c>
      <c r="G39" s="36">
        <f>COUNTIF(G17:G38,"○")/22*100</f>
      </c>
    </row>
    <row x14ac:dyDescent="0.25" r="40" customHeight="1" ht="115.95">
      <c r="A40" s="34" t="s">
        <v>74</v>
      </c>
      <c r="B40" s="35"/>
      <c r="C40" s="23" t="s">
        <v>286</v>
      </c>
      <c r="D40" s="23"/>
      <c r="E40" s="23" t="s">
        <v>287</v>
      </c>
      <c r="F40" s="23"/>
      <c r="G40" s="20"/>
    </row>
    <row x14ac:dyDescent="0.25" r="41" customHeight="1" ht="17.25">
      <c r="A41" s="4"/>
      <c r="B41" s="4"/>
      <c r="C41" s="52"/>
      <c r="D41" s="52"/>
      <c r="E41" s="52"/>
      <c r="F41" s="52"/>
      <c r="G41" s="52"/>
    </row>
    <row x14ac:dyDescent="0.25" r="42" customHeight="1" ht="17.25">
      <c r="A42" s="4"/>
      <c r="B42" s="4"/>
      <c r="C42" s="52"/>
      <c r="D42" s="52"/>
      <c r="E42" s="52"/>
      <c r="F42" s="52"/>
      <c r="G42" s="52"/>
    </row>
    <row x14ac:dyDescent="0.25" r="43" customHeight="1" ht="17.25">
      <c r="A43" s="6" t="s">
        <v>78</v>
      </c>
      <c r="B43" s="4"/>
      <c r="C43" s="52"/>
      <c r="D43" s="52"/>
      <c r="E43" s="52"/>
      <c r="F43" s="52"/>
      <c r="G43" s="52"/>
    </row>
    <row x14ac:dyDescent="0.25" r="44" customHeight="1" ht="17.25">
      <c r="A44" s="19" t="s">
        <v>7</v>
      </c>
      <c r="B44" s="19"/>
      <c r="C44" s="69" t="s">
        <v>288</v>
      </c>
      <c r="D44" s="69" t="s">
        <v>289</v>
      </c>
      <c r="E44" s="69" t="s">
        <v>290</v>
      </c>
      <c r="F44" s="69" t="s">
        <v>291</v>
      </c>
      <c r="G44" s="69" t="s">
        <v>292</v>
      </c>
    </row>
    <row x14ac:dyDescent="0.25" r="45" customHeight="1" ht="17.25">
      <c r="A45" s="22" t="s">
        <v>13</v>
      </c>
      <c r="B45" s="19" t="s">
        <v>14</v>
      </c>
      <c r="C45" s="20" t="s">
        <v>293</v>
      </c>
      <c r="D45" s="20" t="s">
        <v>294</v>
      </c>
      <c r="E45" s="20" t="s">
        <v>295</v>
      </c>
      <c r="F45" s="20" t="s">
        <v>296</v>
      </c>
      <c r="G45" s="20" t="s">
        <v>297</v>
      </c>
    </row>
    <row x14ac:dyDescent="0.25" r="46" customHeight="1" ht="17.25">
      <c r="A46" s="19"/>
      <c r="B46" s="19" t="s">
        <v>20</v>
      </c>
      <c r="C46" s="20" t="s">
        <v>298</v>
      </c>
      <c r="D46" s="20" t="s">
        <v>299</v>
      </c>
      <c r="E46" s="20" t="s">
        <v>300</v>
      </c>
      <c r="F46" s="20" t="s">
        <v>301</v>
      </c>
      <c r="G46" s="20" t="s">
        <v>302</v>
      </c>
    </row>
    <row x14ac:dyDescent="0.25" r="47" customHeight="1" ht="17.25">
      <c r="A47" s="7" t="s">
        <v>26</v>
      </c>
      <c r="B47" s="8"/>
      <c r="C47" s="23" t="s">
        <v>303</v>
      </c>
      <c r="D47" s="23" t="s">
        <v>304</v>
      </c>
      <c r="E47" s="23" t="s">
        <v>305</v>
      </c>
      <c r="F47" s="23" t="s">
        <v>306</v>
      </c>
      <c r="G47" s="23" t="s">
        <v>307</v>
      </c>
    </row>
    <row x14ac:dyDescent="0.25" r="48" customHeight="1" ht="17.25">
      <c r="A48" s="7" t="s">
        <v>32</v>
      </c>
      <c r="B48" s="8"/>
      <c r="C48" s="24" t="s">
        <v>308</v>
      </c>
      <c r="D48" s="24" t="s">
        <v>309</v>
      </c>
      <c r="E48" s="24" t="s">
        <v>310</v>
      </c>
      <c r="F48" s="24" t="s">
        <v>311</v>
      </c>
      <c r="G48" s="24" t="s">
        <v>312</v>
      </c>
    </row>
    <row x14ac:dyDescent="0.25" r="49" customHeight="1" ht="17.25">
      <c r="A49" s="58" t="s">
        <v>38</v>
      </c>
      <c r="B49" s="59"/>
      <c r="C49" s="60" t="s">
        <v>313</v>
      </c>
      <c r="D49" s="61" t="s">
        <v>314</v>
      </c>
      <c r="E49" s="61" t="s">
        <v>315</v>
      </c>
      <c r="F49" s="61" t="s">
        <v>316</v>
      </c>
      <c r="G49" s="60" t="s">
        <v>317</v>
      </c>
    </row>
    <row x14ac:dyDescent="0.25" r="50" customHeight="1" ht="17.25">
      <c r="A50" s="70" t="s">
        <v>44</v>
      </c>
      <c r="B50" s="63" t="s">
        <v>278</v>
      </c>
      <c r="C50" s="71" t="s">
        <v>47</v>
      </c>
      <c r="D50" s="71" t="s">
        <v>47</v>
      </c>
      <c r="E50" s="71" t="s">
        <v>47</v>
      </c>
      <c r="F50" s="71" t="s">
        <v>47</v>
      </c>
      <c r="G50" s="71" t="s">
        <v>47</v>
      </c>
    </row>
    <row x14ac:dyDescent="0.25" r="51" customHeight="1" ht="17.25">
      <c r="A51" s="65"/>
      <c r="B51" s="29" t="s">
        <v>151</v>
      </c>
      <c r="C51" s="21" t="s">
        <v>46</v>
      </c>
      <c r="D51" s="21" t="s">
        <v>46</v>
      </c>
      <c r="E51" s="21" t="s">
        <v>46</v>
      </c>
      <c r="F51" s="21" t="s">
        <v>46</v>
      </c>
      <c r="G51" s="21" t="s">
        <v>46</v>
      </c>
    </row>
    <row x14ac:dyDescent="0.25" r="52" customHeight="1" ht="17.25">
      <c r="A52" s="65"/>
      <c r="B52" s="29" t="s">
        <v>196</v>
      </c>
      <c r="C52" s="21" t="s">
        <v>46</v>
      </c>
      <c r="D52" s="21" t="s">
        <v>46</v>
      </c>
      <c r="E52" s="21" t="s">
        <v>46</v>
      </c>
      <c r="F52" s="21" t="s">
        <v>46</v>
      </c>
      <c r="G52" s="21" t="s">
        <v>46</v>
      </c>
    </row>
    <row x14ac:dyDescent="0.25" r="53" customHeight="1" ht="17.25">
      <c r="A53" s="65"/>
      <c r="B53" s="29" t="s">
        <v>279</v>
      </c>
      <c r="C53" s="21" t="s">
        <v>46</v>
      </c>
      <c r="D53" s="21" t="s">
        <v>46</v>
      </c>
      <c r="E53" s="21" t="s">
        <v>46</v>
      </c>
      <c r="F53" s="21" t="s">
        <v>46</v>
      </c>
      <c r="G53" s="21" t="s">
        <v>46</v>
      </c>
    </row>
    <row x14ac:dyDescent="0.25" r="54" customHeight="1" ht="17.25">
      <c r="A54" s="65"/>
      <c r="B54" s="29" t="s">
        <v>51</v>
      </c>
      <c r="C54" s="21" t="s">
        <v>46</v>
      </c>
      <c r="D54" s="21" t="s">
        <v>46</v>
      </c>
      <c r="E54" s="21" t="s">
        <v>46</v>
      </c>
      <c r="F54" s="21" t="s">
        <v>46</v>
      </c>
      <c r="G54" s="21" t="s">
        <v>46</v>
      </c>
    </row>
    <row x14ac:dyDescent="0.25" r="55" customHeight="1" ht="17.25">
      <c r="A55" s="65"/>
      <c r="B55" s="29" t="s">
        <v>280</v>
      </c>
      <c r="C55" s="21" t="s">
        <v>46</v>
      </c>
      <c r="D55" s="21" t="s">
        <v>46</v>
      </c>
      <c r="E55" s="21" t="s">
        <v>46</v>
      </c>
      <c r="F55" s="21" t="s">
        <v>46</v>
      </c>
      <c r="G55" s="21" t="s">
        <v>46</v>
      </c>
    </row>
    <row x14ac:dyDescent="0.25" r="56" customHeight="1" ht="17.25">
      <c r="A56" s="65"/>
      <c r="B56" s="29" t="s">
        <v>226</v>
      </c>
      <c r="C56" s="21" t="s">
        <v>46</v>
      </c>
      <c r="D56" s="21" t="s">
        <v>46</v>
      </c>
      <c r="E56" s="21" t="s">
        <v>46</v>
      </c>
      <c r="F56" s="21" t="s">
        <v>46</v>
      </c>
      <c r="G56" s="21" t="s">
        <v>46</v>
      </c>
    </row>
    <row x14ac:dyDescent="0.25" r="57" customHeight="1" ht="17.25">
      <c r="A57" s="65"/>
      <c r="B57" s="29" t="s">
        <v>281</v>
      </c>
      <c r="C57" s="21" t="s">
        <v>46</v>
      </c>
      <c r="D57" s="21" t="s">
        <v>46</v>
      </c>
      <c r="E57" s="21" t="s">
        <v>46</v>
      </c>
      <c r="F57" s="21" t="s">
        <v>46</v>
      </c>
      <c r="G57" s="21" t="s">
        <v>46</v>
      </c>
    </row>
    <row x14ac:dyDescent="0.25" r="58" customHeight="1" ht="17.25">
      <c r="A58" s="65"/>
      <c r="B58" s="29" t="s">
        <v>228</v>
      </c>
      <c r="C58" s="21" t="s">
        <v>46</v>
      </c>
      <c r="D58" s="21" t="s">
        <v>46</v>
      </c>
      <c r="E58" s="21" t="s">
        <v>46</v>
      </c>
      <c r="F58" s="21" t="s">
        <v>46</v>
      </c>
      <c r="G58" s="21" t="s">
        <v>46</v>
      </c>
    </row>
    <row x14ac:dyDescent="0.25" r="59" customHeight="1" ht="17.25">
      <c r="A59" s="65"/>
      <c r="B59" s="29" t="s">
        <v>229</v>
      </c>
      <c r="C59" s="21" t="s">
        <v>46</v>
      </c>
      <c r="D59" s="21" t="s">
        <v>46</v>
      </c>
      <c r="E59" s="21" t="s">
        <v>46</v>
      </c>
      <c r="F59" s="21" t="s">
        <v>46</v>
      </c>
      <c r="G59" s="21" t="s">
        <v>46</v>
      </c>
    </row>
    <row x14ac:dyDescent="0.25" r="60" customHeight="1" ht="17.25">
      <c r="A60" s="65"/>
      <c r="B60" s="29" t="s">
        <v>282</v>
      </c>
      <c r="C60" s="21" t="s">
        <v>47</v>
      </c>
      <c r="D60" s="21" t="s">
        <v>47</v>
      </c>
      <c r="E60" s="21" t="s">
        <v>47</v>
      </c>
      <c r="F60" s="21" t="s">
        <v>47</v>
      </c>
      <c r="G60" s="21" t="s">
        <v>47</v>
      </c>
    </row>
    <row x14ac:dyDescent="0.25" r="61" customHeight="1" ht="17.25">
      <c r="A61" s="65"/>
      <c r="B61" s="29" t="s">
        <v>283</v>
      </c>
      <c r="C61" s="21" t="s">
        <v>46</v>
      </c>
      <c r="D61" s="21" t="s">
        <v>46</v>
      </c>
      <c r="E61" s="21" t="s">
        <v>46</v>
      </c>
      <c r="F61" s="21" t="s">
        <v>46</v>
      </c>
      <c r="G61" s="21" t="s">
        <v>46</v>
      </c>
    </row>
    <row x14ac:dyDescent="0.25" r="62" customHeight="1" ht="17.25">
      <c r="A62" s="65"/>
      <c r="B62" s="29" t="s">
        <v>284</v>
      </c>
      <c r="C62" s="21" t="s">
        <v>46</v>
      </c>
      <c r="D62" s="21" t="s">
        <v>46</v>
      </c>
      <c r="E62" s="21" t="s">
        <v>46</v>
      </c>
      <c r="F62" s="21" t="s">
        <v>46</v>
      </c>
      <c r="G62" s="21" t="s">
        <v>46</v>
      </c>
    </row>
    <row x14ac:dyDescent="0.25" r="63" customHeight="1" ht="17.25">
      <c r="A63" s="66"/>
      <c r="B63" s="67" t="s">
        <v>285</v>
      </c>
      <c r="C63" s="68" t="s">
        <v>46</v>
      </c>
      <c r="D63" s="68" t="s">
        <v>46</v>
      </c>
      <c r="E63" s="68" t="s">
        <v>46</v>
      </c>
      <c r="F63" s="68" t="s">
        <v>46</v>
      </c>
      <c r="G63" s="68" t="s">
        <v>46</v>
      </c>
    </row>
    <row x14ac:dyDescent="0.25" r="64" customHeight="1" ht="17.25">
      <c r="A64" s="30" t="s">
        <v>64</v>
      </c>
      <c r="B64" s="31" t="s">
        <v>65</v>
      </c>
      <c r="C64" s="51" t="s">
        <v>46</v>
      </c>
      <c r="D64" s="51" t="s">
        <v>46</v>
      </c>
      <c r="E64" s="51" t="s">
        <v>46</v>
      </c>
      <c r="F64" s="51" t="s">
        <v>46</v>
      </c>
      <c r="G64" s="51" t="s">
        <v>46</v>
      </c>
    </row>
    <row x14ac:dyDescent="0.25" r="65" customHeight="1" ht="17.25">
      <c r="A65" s="32"/>
      <c r="B65" s="33" t="s">
        <v>66</v>
      </c>
      <c r="C65" s="21" t="s">
        <v>46</v>
      </c>
      <c r="D65" s="21" t="s">
        <v>47</v>
      </c>
      <c r="E65" s="21" t="s">
        <v>46</v>
      </c>
      <c r="F65" s="21" t="s">
        <v>46</v>
      </c>
      <c r="G65" s="21" t="s">
        <v>46</v>
      </c>
    </row>
    <row x14ac:dyDescent="0.25" r="66" customHeight="1" ht="17.25">
      <c r="A66" s="32"/>
      <c r="B66" s="33" t="s">
        <v>67</v>
      </c>
      <c r="C66" s="21" t="s">
        <v>46</v>
      </c>
      <c r="D66" s="21" t="s">
        <v>46</v>
      </c>
      <c r="E66" s="21" t="s">
        <v>46</v>
      </c>
      <c r="F66" s="21" t="s">
        <v>46</v>
      </c>
      <c r="G66" s="21" t="s">
        <v>46</v>
      </c>
    </row>
    <row x14ac:dyDescent="0.25" r="67" customHeight="1" ht="17.25">
      <c r="A67" s="32"/>
      <c r="B67" s="33" t="s">
        <v>68</v>
      </c>
      <c r="C67" s="21" t="s">
        <v>46</v>
      </c>
      <c r="D67" s="21" t="s">
        <v>46</v>
      </c>
      <c r="E67" s="21" t="s">
        <v>46</v>
      </c>
      <c r="F67" s="21" t="s">
        <v>46</v>
      </c>
      <c r="G67" s="21" t="s">
        <v>46</v>
      </c>
    </row>
    <row x14ac:dyDescent="0.25" r="68" customHeight="1" ht="17.25">
      <c r="A68" s="32"/>
      <c r="B68" s="33" t="s">
        <v>69</v>
      </c>
      <c r="C68" s="21" t="s">
        <v>46</v>
      </c>
      <c r="D68" s="21" t="s">
        <v>46</v>
      </c>
      <c r="E68" s="21" t="s">
        <v>46</v>
      </c>
      <c r="F68" s="21" t="s">
        <v>46</v>
      </c>
      <c r="G68" s="21" t="s">
        <v>46</v>
      </c>
    </row>
    <row x14ac:dyDescent="0.25" r="69" customHeight="1" ht="17.25">
      <c r="A69" s="32"/>
      <c r="B69" s="33" t="s">
        <v>70</v>
      </c>
      <c r="C69" s="21" t="s">
        <v>46</v>
      </c>
      <c r="D69" s="21" t="s">
        <v>46</v>
      </c>
      <c r="E69" s="21" t="s">
        <v>46</v>
      </c>
      <c r="F69" s="21" t="s">
        <v>46</v>
      </c>
      <c r="G69" s="21" t="s">
        <v>46</v>
      </c>
    </row>
    <row x14ac:dyDescent="0.25" r="70" customHeight="1" ht="17.25">
      <c r="A70" s="32"/>
      <c r="B70" s="33" t="s">
        <v>71</v>
      </c>
      <c r="C70" s="21" t="s">
        <v>46</v>
      </c>
      <c r="D70" s="21" t="s">
        <v>46</v>
      </c>
      <c r="E70" s="21" t="s">
        <v>46</v>
      </c>
      <c r="F70" s="21" t="s">
        <v>46</v>
      </c>
      <c r="G70" s="21" t="s">
        <v>46</v>
      </c>
    </row>
    <row x14ac:dyDescent="0.25" r="71" customHeight="1" ht="17.25">
      <c r="A71" s="32"/>
      <c r="B71" s="33" t="s">
        <v>72</v>
      </c>
      <c r="C71" s="21" t="s">
        <v>46</v>
      </c>
      <c r="D71" s="21" t="s">
        <v>46</v>
      </c>
      <c r="E71" s="21" t="s">
        <v>46</v>
      </c>
      <c r="F71" s="21" t="s">
        <v>46</v>
      </c>
      <c r="G71" s="21" t="s">
        <v>46</v>
      </c>
    </row>
    <row x14ac:dyDescent="0.25" r="72" customHeight="1" ht="17.25">
      <c r="A72" s="34" t="s">
        <v>73</v>
      </c>
      <c r="B72" s="35"/>
      <c r="C72" s="36">
        <f>COUNTIF(C50:C71,"○")/22*100</f>
      </c>
      <c r="D72" s="36">
        <f>COUNTIF(D50:D71,"○")/22*100</f>
      </c>
      <c r="E72" s="36">
        <f>COUNTIF(E50:E71,"○")/22*100</f>
      </c>
      <c r="F72" s="36">
        <f>COUNTIF(F50:F71,"○")/22*100</f>
      </c>
      <c r="G72" s="36">
        <f>COUNTIF(G50:G71,"○")/22*100</f>
      </c>
    </row>
    <row x14ac:dyDescent="0.25" r="73" customHeight="1" ht="115.95">
      <c r="A73" s="34" t="s">
        <v>74</v>
      </c>
      <c r="B73" s="35"/>
      <c r="C73" s="23"/>
      <c r="D73" s="23" t="s">
        <v>318</v>
      </c>
      <c r="E73" s="23"/>
      <c r="F73" s="23"/>
      <c r="G73" s="20"/>
    </row>
  </sheetData>
  <mergeCells count="21">
    <mergeCell ref="A4:B4"/>
    <mergeCell ref="A5:B7"/>
    <mergeCell ref="C5:C7"/>
    <mergeCell ref="A11:B11"/>
    <mergeCell ref="A12:A13"/>
    <mergeCell ref="A14:B14"/>
    <mergeCell ref="A15:B15"/>
    <mergeCell ref="A16:B16"/>
    <mergeCell ref="A17:A30"/>
    <mergeCell ref="A31:A38"/>
    <mergeCell ref="A39:B39"/>
    <mergeCell ref="A40:B40"/>
    <mergeCell ref="A44:B44"/>
    <mergeCell ref="A45:A46"/>
    <mergeCell ref="A47:B47"/>
    <mergeCell ref="A48:B48"/>
    <mergeCell ref="A49:B49"/>
    <mergeCell ref="A50:A63"/>
    <mergeCell ref="A64:A71"/>
    <mergeCell ref="A72:B72"/>
    <mergeCell ref="A73:B7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69"/>
  <sheetViews>
    <sheetView workbookViewId="0"/>
  </sheetViews>
  <sheetFormatPr defaultRowHeight="15" x14ac:dyDescent="0.25"/>
  <cols>
    <col min="1" max="1" style="48" width="22.14785714285714" customWidth="1" bestFit="1"/>
    <col min="2" max="2" style="48" width="46.14785714285715" customWidth="1" bestFit="1"/>
    <col min="3" max="3" style="57" width="99.7192857142857" customWidth="1" bestFit="1"/>
    <col min="4" max="4" style="57" width="99.7192857142857" customWidth="1" bestFit="1"/>
    <col min="5" max="5" style="57" width="99.7192857142857" customWidth="1" bestFit="1"/>
    <col min="6" max="6" style="57" width="99.7192857142857" customWidth="1" bestFit="1"/>
    <col min="7" max="7" style="57" width="99.7192857142857" customWidth="1" bestFit="1"/>
  </cols>
  <sheetData>
    <row x14ac:dyDescent="0.25" r="1" customHeight="1" ht="17.25">
      <c r="A1" s="1" t="s">
        <v>211</v>
      </c>
      <c r="B1" s="1"/>
      <c r="C1" s="2"/>
      <c r="D1" s="52"/>
      <c r="E1" s="52"/>
      <c r="F1" s="52"/>
      <c r="G1" s="52"/>
    </row>
    <row x14ac:dyDescent="0.25" r="2" customHeight="1" ht="17.25">
      <c r="A2" s="4"/>
      <c r="B2" s="4"/>
      <c r="C2" s="52"/>
      <c r="D2" s="52"/>
      <c r="E2" s="52"/>
      <c r="F2" s="52"/>
      <c r="G2" s="52"/>
    </row>
    <row x14ac:dyDescent="0.25" r="3" customHeight="1" ht="17.25">
      <c r="A3" s="6" t="s">
        <v>1</v>
      </c>
      <c r="B3" s="4"/>
      <c r="C3" s="52"/>
      <c r="D3" s="52"/>
      <c r="E3" s="52"/>
      <c r="F3" s="52"/>
      <c r="G3" s="52"/>
    </row>
    <row x14ac:dyDescent="0.25" r="4" customHeight="1" ht="17.25">
      <c r="A4" s="7" t="s">
        <v>2</v>
      </c>
      <c r="B4" s="8"/>
      <c r="C4" s="53" t="s">
        <v>212</v>
      </c>
      <c r="D4" s="52"/>
      <c r="E4" s="52"/>
      <c r="F4" s="52"/>
      <c r="G4" s="52"/>
    </row>
    <row x14ac:dyDescent="0.25" r="5" customHeight="1" ht="409.2">
      <c r="A5" s="10" t="s">
        <v>4</v>
      </c>
      <c r="B5" s="11"/>
      <c r="C5" s="54" t="s">
        <v>213</v>
      </c>
      <c r="D5" s="52"/>
      <c r="E5" s="52"/>
      <c r="F5" s="52"/>
      <c r="G5" s="52"/>
    </row>
    <row x14ac:dyDescent="0.25" r="6" customHeight="1" ht="288">
      <c r="A6" s="13"/>
      <c r="B6" s="14"/>
      <c r="C6" s="55"/>
      <c r="D6" s="52"/>
      <c r="E6" s="52"/>
      <c r="F6" s="52"/>
      <c r="G6" s="52"/>
    </row>
    <row x14ac:dyDescent="0.25" r="7" customHeight="1" ht="363.6000000000001">
      <c r="A7" s="16"/>
      <c r="B7" s="17"/>
      <c r="C7" s="56"/>
      <c r="D7" s="52"/>
      <c r="E7" s="52"/>
      <c r="F7" s="52"/>
      <c r="G7" s="52"/>
    </row>
    <row x14ac:dyDescent="0.25" r="8" customHeight="1" ht="17.25">
      <c r="A8" s="4"/>
      <c r="B8" s="4"/>
      <c r="C8" s="52"/>
      <c r="D8" s="52"/>
      <c r="E8" s="52"/>
      <c r="F8" s="52"/>
      <c r="G8" s="52"/>
    </row>
    <row x14ac:dyDescent="0.25" r="9" customHeight="1" ht="17.25">
      <c r="A9" s="4"/>
      <c r="B9" s="4"/>
      <c r="C9" s="52"/>
      <c r="D9" s="52"/>
      <c r="E9" s="52"/>
      <c r="F9" s="52"/>
      <c r="G9" s="52"/>
    </row>
    <row x14ac:dyDescent="0.25" r="10" customHeight="1" ht="17.25">
      <c r="A10" s="6" t="s">
        <v>6</v>
      </c>
      <c r="B10" s="4"/>
      <c r="C10" s="52"/>
      <c r="D10" s="52"/>
      <c r="E10" s="52"/>
      <c r="F10" s="52"/>
      <c r="G10" s="52"/>
    </row>
    <row x14ac:dyDescent="0.25" r="11" customHeight="1" ht="17.25">
      <c r="A11" s="19" t="s">
        <v>7</v>
      </c>
      <c r="B11" s="19"/>
      <c r="C11" s="20" t="s">
        <v>8</v>
      </c>
      <c r="D11" s="21" t="s">
        <v>9</v>
      </c>
      <c r="E11" s="20" t="s">
        <v>10</v>
      </c>
      <c r="F11" s="21" t="s">
        <v>11</v>
      </c>
      <c r="G11" s="20" t="s">
        <v>12</v>
      </c>
    </row>
    <row x14ac:dyDescent="0.25" r="12" customHeight="1" ht="385.95">
      <c r="A12" s="22" t="s">
        <v>13</v>
      </c>
      <c r="B12" s="19" t="s">
        <v>14</v>
      </c>
      <c r="C12" s="20" t="s">
        <v>15</v>
      </c>
      <c r="D12" s="20" t="s">
        <v>16</v>
      </c>
      <c r="E12" s="20" t="s">
        <v>17</v>
      </c>
      <c r="F12" s="20" t="s">
        <v>18</v>
      </c>
      <c r="G12" s="20" t="s">
        <v>19</v>
      </c>
    </row>
    <row x14ac:dyDescent="0.25" r="13" customHeight="1" ht="227.69999999999996">
      <c r="A13" s="19"/>
      <c r="B13" s="19" t="s">
        <v>20</v>
      </c>
      <c r="C13" s="20" t="s">
        <v>136</v>
      </c>
      <c r="D13" s="20" t="s">
        <v>137</v>
      </c>
      <c r="E13" s="20" t="s">
        <v>138</v>
      </c>
      <c r="F13" s="20" t="s">
        <v>139</v>
      </c>
      <c r="G13" s="20" t="s">
        <v>25</v>
      </c>
    </row>
    <row x14ac:dyDescent="0.25" r="14" customHeight="1" ht="315">
      <c r="A14" s="7" t="s">
        <v>26</v>
      </c>
      <c r="B14" s="8"/>
      <c r="C14" s="23" t="s">
        <v>27</v>
      </c>
      <c r="D14" s="23" t="s">
        <v>28</v>
      </c>
      <c r="E14" s="23" t="s">
        <v>29</v>
      </c>
      <c r="F14" s="23" t="s">
        <v>30</v>
      </c>
      <c r="G14" s="23" t="s">
        <v>31</v>
      </c>
    </row>
    <row x14ac:dyDescent="0.25" r="15" customHeight="1" ht="289.2">
      <c r="A15" s="7" t="s">
        <v>32</v>
      </c>
      <c r="B15" s="8"/>
      <c r="C15" s="24" t="s">
        <v>214</v>
      </c>
      <c r="D15" s="24" t="s">
        <v>215</v>
      </c>
      <c r="E15" s="24" t="s">
        <v>216</v>
      </c>
      <c r="F15" s="24" t="s">
        <v>217</v>
      </c>
      <c r="G15" s="24" t="s">
        <v>218</v>
      </c>
    </row>
    <row x14ac:dyDescent="0.25" r="16" customHeight="1" ht="258.6">
      <c r="A16" s="25" t="s">
        <v>38</v>
      </c>
      <c r="B16" s="11"/>
      <c r="C16" s="26" t="s">
        <v>219</v>
      </c>
      <c r="D16" s="24" t="s">
        <v>220</v>
      </c>
      <c r="E16" s="24" t="s">
        <v>221</v>
      </c>
      <c r="F16" s="24" t="s">
        <v>222</v>
      </c>
      <c r="G16" s="26" t="s">
        <v>223</v>
      </c>
    </row>
    <row x14ac:dyDescent="0.25" r="17" customHeight="1" ht="17.25">
      <c r="A17" s="45" t="s">
        <v>44</v>
      </c>
      <c r="B17" s="29" t="s">
        <v>224</v>
      </c>
      <c r="C17" s="46" t="s">
        <v>47</v>
      </c>
      <c r="D17" s="46" t="s">
        <v>46</v>
      </c>
      <c r="E17" s="46" t="s">
        <v>47</v>
      </c>
      <c r="F17" s="46" t="s">
        <v>46</v>
      </c>
      <c r="G17" s="46" t="s">
        <v>47</v>
      </c>
    </row>
    <row x14ac:dyDescent="0.25" r="18" customHeight="1" ht="17.25">
      <c r="A18" s="47"/>
      <c r="B18" s="29" t="s">
        <v>151</v>
      </c>
      <c r="C18" s="21" t="s">
        <v>46</v>
      </c>
      <c r="D18" s="21" t="s">
        <v>46</v>
      </c>
      <c r="E18" s="21" t="s">
        <v>46</v>
      </c>
      <c r="F18" s="21" t="s">
        <v>46</v>
      </c>
      <c r="G18" s="21" t="s">
        <v>46</v>
      </c>
    </row>
    <row x14ac:dyDescent="0.25" r="19" customHeight="1" ht="17.25">
      <c r="A19" s="47"/>
      <c r="B19" s="29" t="s">
        <v>196</v>
      </c>
      <c r="C19" s="21" t="s">
        <v>46</v>
      </c>
      <c r="D19" s="21" t="s">
        <v>46</v>
      </c>
      <c r="E19" s="21" t="s">
        <v>46</v>
      </c>
      <c r="F19" s="21" t="s">
        <v>46</v>
      </c>
      <c r="G19" s="21" t="s">
        <v>46</v>
      </c>
    </row>
    <row x14ac:dyDescent="0.25" r="20" customHeight="1" ht="17.25">
      <c r="A20" s="47"/>
      <c r="B20" s="29" t="s">
        <v>50</v>
      </c>
      <c r="C20" s="21" t="s">
        <v>46</v>
      </c>
      <c r="D20" s="21" t="s">
        <v>46</v>
      </c>
      <c r="E20" s="21" t="s">
        <v>46</v>
      </c>
      <c r="F20" s="21" t="s">
        <v>46</v>
      </c>
      <c r="G20" s="21" t="s">
        <v>46</v>
      </c>
    </row>
    <row x14ac:dyDescent="0.25" r="21" customHeight="1" ht="17.25">
      <c r="A21" s="47"/>
      <c r="B21" s="29" t="s">
        <v>51</v>
      </c>
      <c r="C21" s="21" t="s">
        <v>46</v>
      </c>
      <c r="D21" s="21" t="s">
        <v>46</v>
      </c>
      <c r="E21" s="21" t="s">
        <v>46</v>
      </c>
      <c r="F21" s="21" t="s">
        <v>46</v>
      </c>
      <c r="G21" s="21" t="s">
        <v>46</v>
      </c>
    </row>
    <row x14ac:dyDescent="0.25" r="22" customHeight="1" ht="17.25">
      <c r="A22" s="47"/>
      <c r="B22" s="29" t="s">
        <v>225</v>
      </c>
      <c r="C22" s="21" t="s">
        <v>46</v>
      </c>
      <c r="D22" s="21" t="s">
        <v>46</v>
      </c>
      <c r="E22" s="21" t="s">
        <v>46</v>
      </c>
      <c r="F22" s="21" t="s">
        <v>46</v>
      </c>
      <c r="G22" s="21" t="s">
        <v>46</v>
      </c>
    </row>
    <row x14ac:dyDescent="0.25" r="23" customHeight="1" ht="17.25">
      <c r="A23" s="47"/>
      <c r="B23" s="29" t="s">
        <v>226</v>
      </c>
      <c r="C23" s="21" t="s">
        <v>46</v>
      </c>
      <c r="D23" s="21" t="s">
        <v>46</v>
      </c>
      <c r="E23" s="21" t="s">
        <v>46</v>
      </c>
      <c r="F23" s="21" t="s">
        <v>46</v>
      </c>
      <c r="G23" s="21" t="s">
        <v>46</v>
      </c>
    </row>
    <row x14ac:dyDescent="0.25" r="24" customHeight="1" ht="17.25">
      <c r="A24" s="47"/>
      <c r="B24" s="29" t="s">
        <v>227</v>
      </c>
      <c r="C24" s="21" t="s">
        <v>46</v>
      </c>
      <c r="D24" s="21" t="s">
        <v>46</v>
      </c>
      <c r="E24" s="21" t="s">
        <v>46</v>
      </c>
      <c r="F24" s="21" t="s">
        <v>46</v>
      </c>
      <c r="G24" s="21" t="s">
        <v>46</v>
      </c>
    </row>
    <row x14ac:dyDescent="0.25" r="25" customHeight="1" ht="17.25">
      <c r="A25" s="47"/>
      <c r="B25" s="29" t="s">
        <v>228</v>
      </c>
      <c r="C25" s="21" t="s">
        <v>46</v>
      </c>
      <c r="D25" s="21" t="s">
        <v>46</v>
      </c>
      <c r="E25" s="21" t="s">
        <v>46</v>
      </c>
      <c r="F25" s="21" t="s">
        <v>46</v>
      </c>
      <c r="G25" s="21" t="s">
        <v>46</v>
      </c>
    </row>
    <row x14ac:dyDescent="0.25" r="26" customHeight="1" ht="17.25">
      <c r="A26" s="47"/>
      <c r="B26" s="29" t="s">
        <v>229</v>
      </c>
      <c r="C26" s="21" t="s">
        <v>46</v>
      </c>
      <c r="D26" s="21" t="s">
        <v>46</v>
      </c>
      <c r="E26" s="21" t="s">
        <v>46</v>
      </c>
      <c r="F26" s="21" t="s">
        <v>46</v>
      </c>
      <c r="G26" s="21" t="s">
        <v>46</v>
      </c>
    </row>
    <row x14ac:dyDescent="0.25" r="27" customHeight="1" ht="17.25">
      <c r="A27" s="47"/>
      <c r="B27" s="29" t="s">
        <v>230</v>
      </c>
      <c r="C27" s="21" t="s">
        <v>46</v>
      </c>
      <c r="D27" s="21" t="s">
        <v>46</v>
      </c>
      <c r="E27" s="21" t="s">
        <v>46</v>
      </c>
      <c r="F27" s="21" t="s">
        <v>46</v>
      </c>
      <c r="G27" s="21" t="s">
        <v>46</v>
      </c>
    </row>
    <row x14ac:dyDescent="0.25" r="28" customHeight="1" ht="17.25">
      <c r="A28" s="47"/>
      <c r="B28" s="29" t="s">
        <v>161</v>
      </c>
      <c r="C28" s="21" t="s">
        <v>46</v>
      </c>
      <c r="D28" s="21" t="s">
        <v>46</v>
      </c>
      <c r="E28" s="21" t="s">
        <v>46</v>
      </c>
      <c r="F28" s="21" t="s">
        <v>46</v>
      </c>
      <c r="G28" s="21" t="s">
        <v>46</v>
      </c>
    </row>
    <row x14ac:dyDescent="0.25" r="29" customHeight="1" ht="17.25">
      <c r="A29" s="30" t="s">
        <v>64</v>
      </c>
      <c r="B29" s="31" t="s">
        <v>65</v>
      </c>
      <c r="C29" s="51" t="s">
        <v>46</v>
      </c>
      <c r="D29" s="51" t="s">
        <v>46</v>
      </c>
      <c r="E29" s="51" t="s">
        <v>46</v>
      </c>
      <c r="F29" s="51" t="s">
        <v>46</v>
      </c>
      <c r="G29" s="51" t="s">
        <v>46</v>
      </c>
    </row>
    <row x14ac:dyDescent="0.25" r="30" customHeight="1" ht="17.25">
      <c r="A30" s="32"/>
      <c r="B30" s="33" t="s">
        <v>66</v>
      </c>
      <c r="C30" s="21" t="s">
        <v>46</v>
      </c>
      <c r="D30" s="51" t="s">
        <v>46</v>
      </c>
      <c r="E30" s="51" t="s">
        <v>46</v>
      </c>
      <c r="F30" s="51" t="s">
        <v>46</v>
      </c>
      <c r="G30" s="51" t="s">
        <v>46</v>
      </c>
    </row>
    <row x14ac:dyDescent="0.25" r="31" customHeight="1" ht="17.25">
      <c r="A31" s="32"/>
      <c r="B31" s="33" t="s">
        <v>67</v>
      </c>
      <c r="C31" s="21" t="s">
        <v>46</v>
      </c>
      <c r="D31" s="51" t="s">
        <v>46</v>
      </c>
      <c r="E31" s="51" t="s">
        <v>46</v>
      </c>
      <c r="F31" s="51" t="s">
        <v>46</v>
      </c>
      <c r="G31" s="51" t="s">
        <v>46</v>
      </c>
    </row>
    <row x14ac:dyDescent="0.25" r="32" customHeight="1" ht="17.25">
      <c r="A32" s="32"/>
      <c r="B32" s="33" t="s">
        <v>68</v>
      </c>
      <c r="C32" s="21" t="s">
        <v>46</v>
      </c>
      <c r="D32" s="51" t="s">
        <v>46</v>
      </c>
      <c r="E32" s="51" t="s">
        <v>46</v>
      </c>
      <c r="F32" s="51" t="s">
        <v>46</v>
      </c>
      <c r="G32" s="51" t="s">
        <v>46</v>
      </c>
    </row>
    <row x14ac:dyDescent="0.25" r="33" customHeight="1" ht="17.25">
      <c r="A33" s="32"/>
      <c r="B33" s="33" t="s">
        <v>69</v>
      </c>
      <c r="C33" s="21" t="s">
        <v>46</v>
      </c>
      <c r="D33" s="51" t="s">
        <v>46</v>
      </c>
      <c r="E33" s="51" t="s">
        <v>46</v>
      </c>
      <c r="F33" s="51" t="s">
        <v>46</v>
      </c>
      <c r="G33" s="51" t="s">
        <v>46</v>
      </c>
    </row>
    <row x14ac:dyDescent="0.25" r="34" customHeight="1" ht="17.25">
      <c r="A34" s="32"/>
      <c r="B34" s="33" t="s">
        <v>70</v>
      </c>
      <c r="C34" s="21" t="s">
        <v>46</v>
      </c>
      <c r="D34" s="51" t="s">
        <v>46</v>
      </c>
      <c r="E34" s="51" t="s">
        <v>46</v>
      </c>
      <c r="F34" s="51" t="s">
        <v>46</v>
      </c>
      <c r="G34" s="51" t="s">
        <v>46</v>
      </c>
    </row>
    <row x14ac:dyDescent="0.25" r="35" customHeight="1" ht="17.25">
      <c r="A35" s="32"/>
      <c r="B35" s="33" t="s">
        <v>71</v>
      </c>
      <c r="C35" s="21" t="s">
        <v>46</v>
      </c>
      <c r="D35" s="51" t="s">
        <v>46</v>
      </c>
      <c r="E35" s="51" t="s">
        <v>46</v>
      </c>
      <c r="F35" s="51" t="s">
        <v>46</v>
      </c>
      <c r="G35" s="51" t="s">
        <v>46</v>
      </c>
    </row>
    <row x14ac:dyDescent="0.25" r="36" customHeight="1" ht="17.25">
      <c r="A36" s="32"/>
      <c r="B36" s="33" t="s">
        <v>72</v>
      </c>
      <c r="C36" s="21" t="s">
        <v>46</v>
      </c>
      <c r="D36" s="51" t="s">
        <v>46</v>
      </c>
      <c r="E36" s="21" t="s">
        <v>47</v>
      </c>
      <c r="F36" s="51" t="s">
        <v>46</v>
      </c>
      <c r="G36" s="51" t="s">
        <v>46</v>
      </c>
    </row>
    <row x14ac:dyDescent="0.25" r="37" customHeight="1" ht="17.25">
      <c r="A37" s="34" t="s">
        <v>73</v>
      </c>
      <c r="B37" s="35"/>
      <c r="C37" s="36">
        <f>COUNTIF(C17:C36,"○")/20*100</f>
      </c>
      <c r="D37" s="36">
        <f>COUNTIF(D17:D36,"○")/20*100</f>
      </c>
      <c r="E37" s="36">
        <f>COUNTIF(E17:E36,"○")/20*100</f>
      </c>
      <c r="F37" s="36">
        <f>COUNTIF(F17:F36,"○")/20*100</f>
      </c>
      <c r="G37" s="36">
        <f>COUNTIF(G17:G36,"○")/20*100</f>
      </c>
    </row>
    <row x14ac:dyDescent="0.25" r="38" customHeight="1" ht="115.95">
      <c r="A38" s="34" t="s">
        <v>74</v>
      </c>
      <c r="B38" s="35"/>
      <c r="C38" s="23" t="s">
        <v>231</v>
      </c>
      <c r="D38" s="23"/>
      <c r="E38" s="23" t="s">
        <v>232</v>
      </c>
      <c r="F38" s="23"/>
      <c r="G38" s="20" t="s">
        <v>231</v>
      </c>
    </row>
    <row x14ac:dyDescent="0.25" r="39" customHeight="1" ht="17.25">
      <c r="A39" s="4"/>
      <c r="B39" s="4"/>
      <c r="C39" s="52"/>
      <c r="D39" s="52"/>
      <c r="E39" s="52"/>
      <c r="F39" s="52"/>
      <c r="G39" s="52"/>
    </row>
    <row x14ac:dyDescent="0.25" r="40" customHeight="1" ht="17.25">
      <c r="A40" s="4"/>
      <c r="B40" s="4"/>
      <c r="C40" s="52"/>
      <c r="D40" s="52"/>
      <c r="E40" s="52"/>
      <c r="F40" s="52"/>
      <c r="G40" s="52"/>
    </row>
    <row x14ac:dyDescent="0.25" r="41" customHeight="1" ht="17.25">
      <c r="A41" s="6" t="s">
        <v>78</v>
      </c>
      <c r="B41" s="4"/>
      <c r="C41" s="52"/>
      <c r="D41" s="52"/>
      <c r="E41" s="52"/>
      <c r="F41" s="52"/>
      <c r="G41" s="52"/>
    </row>
    <row x14ac:dyDescent="0.25" r="42" customHeight="1" ht="17.25">
      <c r="A42" s="19" t="s">
        <v>7</v>
      </c>
      <c r="B42" s="19"/>
      <c r="C42" s="44" t="s">
        <v>79</v>
      </c>
      <c r="D42" s="44" t="s">
        <v>80</v>
      </c>
      <c r="E42" s="44" t="s">
        <v>81</v>
      </c>
      <c r="F42" s="44" t="s">
        <v>82</v>
      </c>
      <c r="G42" s="44" t="s">
        <v>83</v>
      </c>
    </row>
    <row x14ac:dyDescent="0.25" r="43" customHeight="1" ht="386.7">
      <c r="A43" s="22" t="s">
        <v>13</v>
      </c>
      <c r="B43" s="19" t="s">
        <v>14</v>
      </c>
      <c r="C43" s="20" t="s">
        <v>84</v>
      </c>
      <c r="D43" s="20" t="s">
        <v>85</v>
      </c>
      <c r="E43" s="20" t="s">
        <v>86</v>
      </c>
      <c r="F43" s="20" t="s">
        <v>87</v>
      </c>
      <c r="G43" s="20" t="s">
        <v>88</v>
      </c>
    </row>
    <row x14ac:dyDescent="0.25" r="44" customHeight="1" ht="225.6">
      <c r="A44" s="19"/>
      <c r="B44" s="19" t="s">
        <v>20</v>
      </c>
      <c r="C44" s="20" t="s">
        <v>167</v>
      </c>
      <c r="D44" s="20" t="s">
        <v>168</v>
      </c>
      <c r="E44" s="20" t="s">
        <v>169</v>
      </c>
      <c r="F44" s="20" t="s">
        <v>170</v>
      </c>
      <c r="G44" s="20" t="s">
        <v>171</v>
      </c>
    </row>
    <row x14ac:dyDescent="0.25" r="45" customHeight="1" ht="238.19999999999996">
      <c r="A45" s="7" t="s">
        <v>26</v>
      </c>
      <c r="B45" s="8"/>
      <c r="C45" s="23" t="s">
        <v>94</v>
      </c>
      <c r="D45" s="23" t="s">
        <v>95</v>
      </c>
      <c r="E45" s="23" t="s">
        <v>96</v>
      </c>
      <c r="F45" s="23" t="s">
        <v>97</v>
      </c>
      <c r="G45" s="23" t="s">
        <v>98</v>
      </c>
    </row>
    <row x14ac:dyDescent="0.25" r="46" customHeight="1" ht="255">
      <c r="A46" s="7" t="s">
        <v>32</v>
      </c>
      <c r="B46" s="8"/>
      <c r="C46" s="24" t="s">
        <v>233</v>
      </c>
      <c r="D46" s="24" t="s">
        <v>234</v>
      </c>
      <c r="E46" s="24" t="s">
        <v>235</v>
      </c>
      <c r="F46" s="24" t="s">
        <v>236</v>
      </c>
      <c r="G46" s="24" t="s">
        <v>237</v>
      </c>
    </row>
    <row x14ac:dyDescent="0.25" r="47" customHeight="1" ht="253.19999999999996">
      <c r="A47" s="25" t="s">
        <v>38</v>
      </c>
      <c r="B47" s="11"/>
      <c r="C47" s="26" t="s">
        <v>238</v>
      </c>
      <c r="D47" s="24" t="s">
        <v>239</v>
      </c>
      <c r="E47" s="24" t="s">
        <v>240</v>
      </c>
      <c r="F47" s="24" t="s">
        <v>241</v>
      </c>
      <c r="G47" s="26" t="s">
        <v>242</v>
      </c>
    </row>
    <row x14ac:dyDescent="0.25" r="48" customHeight="1" ht="17.25">
      <c r="A48" s="45" t="s">
        <v>44</v>
      </c>
      <c r="B48" s="29" t="s">
        <v>224</v>
      </c>
      <c r="C48" s="46" t="s">
        <v>46</v>
      </c>
      <c r="D48" s="46" t="s">
        <v>47</v>
      </c>
      <c r="E48" s="46" t="s">
        <v>46</v>
      </c>
      <c r="F48" s="46" t="s">
        <v>47</v>
      </c>
      <c r="G48" s="46" t="s">
        <v>47</v>
      </c>
    </row>
    <row x14ac:dyDescent="0.25" r="49" customHeight="1" ht="17.25">
      <c r="A49" s="47"/>
      <c r="B49" s="29" t="s">
        <v>151</v>
      </c>
      <c r="C49" s="21" t="s">
        <v>46</v>
      </c>
      <c r="D49" s="21" t="s">
        <v>46</v>
      </c>
      <c r="E49" s="21" t="s">
        <v>46</v>
      </c>
      <c r="F49" s="21" t="s">
        <v>46</v>
      </c>
      <c r="G49" s="21" t="s">
        <v>46</v>
      </c>
    </row>
    <row x14ac:dyDescent="0.25" r="50" customHeight="1" ht="17.25">
      <c r="A50" s="47"/>
      <c r="B50" s="29" t="s">
        <v>196</v>
      </c>
      <c r="C50" s="21" t="s">
        <v>46</v>
      </c>
      <c r="D50" s="21" t="s">
        <v>46</v>
      </c>
      <c r="E50" s="21" t="s">
        <v>46</v>
      </c>
      <c r="F50" s="21" t="s">
        <v>46</v>
      </c>
      <c r="G50" s="21" t="s">
        <v>46</v>
      </c>
    </row>
    <row x14ac:dyDescent="0.25" r="51" customHeight="1" ht="17.25">
      <c r="A51" s="47"/>
      <c r="B51" s="29" t="s">
        <v>50</v>
      </c>
      <c r="C51" s="21" t="s">
        <v>46</v>
      </c>
      <c r="D51" s="21" t="s">
        <v>46</v>
      </c>
      <c r="E51" s="21" t="s">
        <v>46</v>
      </c>
      <c r="F51" s="21" t="s">
        <v>46</v>
      </c>
      <c r="G51" s="21" t="s">
        <v>46</v>
      </c>
    </row>
    <row x14ac:dyDescent="0.25" r="52" customHeight="1" ht="17.25">
      <c r="A52" s="47"/>
      <c r="B52" s="29" t="s">
        <v>51</v>
      </c>
      <c r="C52" s="21" t="s">
        <v>46</v>
      </c>
      <c r="D52" s="21" t="s">
        <v>46</v>
      </c>
      <c r="E52" s="21" t="s">
        <v>46</v>
      </c>
      <c r="F52" s="21" t="s">
        <v>46</v>
      </c>
      <c r="G52" s="21" t="s">
        <v>46</v>
      </c>
    </row>
    <row x14ac:dyDescent="0.25" r="53" customHeight="1" ht="17.25">
      <c r="A53" s="47"/>
      <c r="B53" s="29" t="s">
        <v>225</v>
      </c>
      <c r="C53" s="21" t="s">
        <v>46</v>
      </c>
      <c r="D53" s="21" t="s">
        <v>46</v>
      </c>
      <c r="E53" s="21" t="s">
        <v>46</v>
      </c>
      <c r="F53" s="21" t="s">
        <v>46</v>
      </c>
      <c r="G53" s="21" t="s">
        <v>46</v>
      </c>
    </row>
    <row x14ac:dyDescent="0.25" r="54" customHeight="1" ht="17.25">
      <c r="A54" s="47"/>
      <c r="B54" s="29" t="s">
        <v>226</v>
      </c>
      <c r="C54" s="21" t="s">
        <v>46</v>
      </c>
      <c r="D54" s="21" t="s">
        <v>46</v>
      </c>
      <c r="E54" s="21" t="s">
        <v>46</v>
      </c>
      <c r="F54" s="21" t="s">
        <v>46</v>
      </c>
      <c r="G54" s="21" t="s">
        <v>46</v>
      </c>
    </row>
    <row x14ac:dyDescent="0.25" r="55" customHeight="1" ht="17.25">
      <c r="A55" s="47"/>
      <c r="B55" s="29" t="s">
        <v>227</v>
      </c>
      <c r="C55" s="21" t="s">
        <v>46</v>
      </c>
      <c r="D55" s="21" t="s">
        <v>46</v>
      </c>
      <c r="E55" s="21" t="s">
        <v>46</v>
      </c>
      <c r="F55" s="21" t="s">
        <v>46</v>
      </c>
      <c r="G55" s="21" t="s">
        <v>46</v>
      </c>
    </row>
    <row x14ac:dyDescent="0.25" r="56" customHeight="1" ht="17.25">
      <c r="A56" s="47"/>
      <c r="B56" s="29" t="s">
        <v>228</v>
      </c>
      <c r="C56" s="21" t="s">
        <v>46</v>
      </c>
      <c r="D56" s="21" t="s">
        <v>46</v>
      </c>
      <c r="E56" s="21" t="s">
        <v>46</v>
      </c>
      <c r="F56" s="21" t="s">
        <v>46</v>
      </c>
      <c r="G56" s="21" t="s">
        <v>46</v>
      </c>
    </row>
    <row x14ac:dyDescent="0.25" r="57" customHeight="1" ht="17.25">
      <c r="A57" s="47"/>
      <c r="B57" s="29" t="s">
        <v>229</v>
      </c>
      <c r="C57" s="21" t="s">
        <v>46</v>
      </c>
      <c r="D57" s="21" t="s">
        <v>46</v>
      </c>
      <c r="E57" s="21" t="s">
        <v>46</v>
      </c>
      <c r="F57" s="21" t="s">
        <v>46</v>
      </c>
      <c r="G57" s="21" t="s">
        <v>46</v>
      </c>
    </row>
    <row x14ac:dyDescent="0.25" r="58" customHeight="1" ht="17.25">
      <c r="A58" s="47"/>
      <c r="B58" s="29" t="s">
        <v>230</v>
      </c>
      <c r="C58" s="21" t="s">
        <v>46</v>
      </c>
      <c r="D58" s="21" t="s">
        <v>46</v>
      </c>
      <c r="E58" s="21" t="s">
        <v>46</v>
      </c>
      <c r="F58" s="21" t="s">
        <v>46</v>
      </c>
      <c r="G58" s="21" t="s">
        <v>46</v>
      </c>
    </row>
    <row x14ac:dyDescent="0.25" r="59" customHeight="1" ht="17.25">
      <c r="A59" s="47"/>
      <c r="B59" s="29" t="s">
        <v>161</v>
      </c>
      <c r="C59" s="21" t="s">
        <v>46</v>
      </c>
      <c r="D59" s="21" t="s">
        <v>46</v>
      </c>
      <c r="E59" s="21" t="s">
        <v>46</v>
      </c>
      <c r="F59" s="21" t="s">
        <v>46</v>
      </c>
      <c r="G59" s="21" t="s">
        <v>46</v>
      </c>
    </row>
    <row x14ac:dyDescent="0.25" r="60" customHeight="1" ht="17.25">
      <c r="A60" s="30" t="s">
        <v>64</v>
      </c>
      <c r="B60" s="31" t="s">
        <v>65</v>
      </c>
      <c r="C60" s="51" t="s">
        <v>46</v>
      </c>
      <c r="D60" s="51" t="s">
        <v>46</v>
      </c>
      <c r="E60" s="51" t="s">
        <v>46</v>
      </c>
      <c r="F60" s="51" t="s">
        <v>46</v>
      </c>
      <c r="G60" s="51" t="s">
        <v>46</v>
      </c>
    </row>
    <row x14ac:dyDescent="0.25" r="61" customHeight="1" ht="17.25">
      <c r="A61" s="32"/>
      <c r="B61" s="33" t="s">
        <v>66</v>
      </c>
      <c r="C61" s="51" t="s">
        <v>46</v>
      </c>
      <c r="D61" s="51" t="s">
        <v>46</v>
      </c>
      <c r="E61" s="51" t="s">
        <v>46</v>
      </c>
      <c r="F61" s="51" t="s">
        <v>46</v>
      </c>
      <c r="G61" s="51" t="s">
        <v>46</v>
      </c>
    </row>
    <row x14ac:dyDescent="0.25" r="62" customHeight="1" ht="17.25">
      <c r="A62" s="32"/>
      <c r="B62" s="33" t="s">
        <v>67</v>
      </c>
      <c r="C62" s="51" t="s">
        <v>46</v>
      </c>
      <c r="D62" s="51" t="s">
        <v>46</v>
      </c>
      <c r="E62" s="51" t="s">
        <v>46</v>
      </c>
      <c r="F62" s="51" t="s">
        <v>46</v>
      </c>
      <c r="G62" s="51" t="s">
        <v>46</v>
      </c>
    </row>
    <row x14ac:dyDescent="0.25" r="63" customHeight="1" ht="17.25">
      <c r="A63" s="32"/>
      <c r="B63" s="33" t="s">
        <v>68</v>
      </c>
      <c r="C63" s="51" t="s">
        <v>46</v>
      </c>
      <c r="D63" s="51" t="s">
        <v>46</v>
      </c>
      <c r="E63" s="51" t="s">
        <v>46</v>
      </c>
      <c r="F63" s="51" t="s">
        <v>46</v>
      </c>
      <c r="G63" s="51" t="s">
        <v>46</v>
      </c>
    </row>
    <row x14ac:dyDescent="0.25" r="64" customHeight="1" ht="17.25">
      <c r="A64" s="32"/>
      <c r="B64" s="33" t="s">
        <v>69</v>
      </c>
      <c r="C64" s="51" t="s">
        <v>46</v>
      </c>
      <c r="D64" s="51" t="s">
        <v>46</v>
      </c>
      <c r="E64" s="51" t="s">
        <v>46</v>
      </c>
      <c r="F64" s="51" t="s">
        <v>46</v>
      </c>
      <c r="G64" s="51" t="s">
        <v>46</v>
      </c>
    </row>
    <row x14ac:dyDescent="0.25" r="65" customHeight="1" ht="17.25">
      <c r="A65" s="32"/>
      <c r="B65" s="33" t="s">
        <v>70</v>
      </c>
      <c r="C65" s="51" t="s">
        <v>46</v>
      </c>
      <c r="D65" s="51" t="s">
        <v>46</v>
      </c>
      <c r="E65" s="51" t="s">
        <v>46</v>
      </c>
      <c r="F65" s="51" t="s">
        <v>46</v>
      </c>
      <c r="G65" s="51" t="s">
        <v>46</v>
      </c>
    </row>
    <row x14ac:dyDescent="0.25" r="66" customHeight="1" ht="17.25">
      <c r="A66" s="32"/>
      <c r="B66" s="33" t="s">
        <v>71</v>
      </c>
      <c r="C66" s="51" t="s">
        <v>46</v>
      </c>
      <c r="D66" s="51" t="s">
        <v>46</v>
      </c>
      <c r="E66" s="51" t="s">
        <v>46</v>
      </c>
      <c r="F66" s="51" t="s">
        <v>46</v>
      </c>
      <c r="G66" s="51" t="s">
        <v>46</v>
      </c>
    </row>
    <row x14ac:dyDescent="0.25" r="67" customHeight="1" ht="17.25">
      <c r="A67" s="32"/>
      <c r="B67" s="33" t="s">
        <v>72</v>
      </c>
      <c r="C67" s="51" t="s">
        <v>46</v>
      </c>
      <c r="D67" s="51" t="s">
        <v>46</v>
      </c>
      <c r="E67" s="21" t="s">
        <v>47</v>
      </c>
      <c r="F67" s="21" t="s">
        <v>47</v>
      </c>
      <c r="G67" s="51" t="s">
        <v>46</v>
      </c>
    </row>
    <row x14ac:dyDescent="0.25" r="68" customHeight="1" ht="17.25">
      <c r="A68" s="34" t="s">
        <v>73</v>
      </c>
      <c r="B68" s="35"/>
      <c r="C68" s="36">
        <f>COUNTIF(C48:C67,"○")/20*100</f>
      </c>
      <c r="D68" s="36">
        <f>COUNTIF(D48:D67,"○")/20*100</f>
      </c>
      <c r="E68" s="36">
        <f>COUNTIF(E48:E67,"○")/20*100</f>
      </c>
      <c r="F68" s="36">
        <f>COUNTIF(F48:F67,"○")/20*100</f>
      </c>
      <c r="G68" s="36">
        <f>COUNTIF(G48:G67,"○")/20*100</f>
      </c>
    </row>
    <row x14ac:dyDescent="0.25" r="69" customHeight="1" ht="115.95">
      <c r="A69" s="34" t="s">
        <v>74</v>
      </c>
      <c r="B69" s="35"/>
      <c r="C69" s="23"/>
      <c r="D69" s="23" t="s">
        <v>231</v>
      </c>
      <c r="E69" s="23" t="s">
        <v>243</v>
      </c>
      <c r="F69" s="23" t="s">
        <v>244</v>
      </c>
      <c r="G69" s="20" t="s">
        <v>231</v>
      </c>
    </row>
  </sheetData>
  <mergeCells count="21">
    <mergeCell ref="A4:B4"/>
    <mergeCell ref="A5:B7"/>
    <mergeCell ref="C5:C7"/>
    <mergeCell ref="A11:B11"/>
    <mergeCell ref="A12:A13"/>
    <mergeCell ref="A14:B14"/>
    <mergeCell ref="A15:B15"/>
    <mergeCell ref="A16:B16"/>
    <mergeCell ref="A17:A28"/>
    <mergeCell ref="A29:A36"/>
    <mergeCell ref="A37:B37"/>
    <mergeCell ref="A38:B38"/>
    <mergeCell ref="A42:B42"/>
    <mergeCell ref="A43:A44"/>
    <mergeCell ref="A45:B45"/>
    <mergeCell ref="A46:B46"/>
    <mergeCell ref="A47:B47"/>
    <mergeCell ref="A48:A59"/>
    <mergeCell ref="A60:A67"/>
    <mergeCell ref="A68:B68"/>
    <mergeCell ref="A69:B6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80"/>
  <sheetViews>
    <sheetView workbookViewId="0"/>
  </sheetViews>
  <sheetFormatPr defaultRowHeight="15" x14ac:dyDescent="0.25"/>
  <cols>
    <col min="1" max="1" style="48" width="22.14785714285714" customWidth="1" bestFit="1"/>
    <col min="2" max="2" style="49" width="46.14785714285715" customWidth="1" bestFit="1"/>
    <col min="3" max="3" style="50" width="99.7192857142857" customWidth="1" bestFit="1"/>
    <col min="4" max="4" style="50" width="99.7192857142857" customWidth="1" bestFit="1"/>
    <col min="5" max="5" style="50" width="99.7192857142857" customWidth="1" bestFit="1"/>
    <col min="6" max="6" style="50" width="99.7192857142857" customWidth="1" bestFit="1"/>
    <col min="7" max="7" style="50" width="99.7192857142857" customWidth="1" bestFit="1"/>
  </cols>
  <sheetData>
    <row x14ac:dyDescent="0.25" r="1" customHeight="1" ht="17.25">
      <c r="A1" s="1" t="s">
        <v>182</v>
      </c>
      <c r="B1" s="1"/>
      <c r="C1" s="2"/>
      <c r="D1" s="3"/>
      <c r="E1" s="3"/>
      <c r="F1" s="3"/>
      <c r="G1" s="3"/>
    </row>
    <row x14ac:dyDescent="0.25" r="2" customHeight="1" ht="17.25">
      <c r="A2" s="4"/>
      <c r="B2" s="5"/>
      <c r="C2" s="3"/>
      <c r="D2" s="3"/>
      <c r="E2" s="3"/>
      <c r="F2" s="3"/>
      <c r="G2" s="3"/>
    </row>
    <row x14ac:dyDescent="0.25" r="3" customHeight="1" ht="17.25">
      <c r="A3" s="6" t="s">
        <v>1</v>
      </c>
      <c r="B3" s="5"/>
      <c r="C3" s="3"/>
      <c r="D3" s="3"/>
      <c r="E3" s="3"/>
      <c r="F3" s="3"/>
      <c r="G3" s="3"/>
    </row>
    <row x14ac:dyDescent="0.25" r="4" customHeight="1" ht="17.25">
      <c r="A4" s="7" t="s">
        <v>2</v>
      </c>
      <c r="B4" s="8"/>
      <c r="C4" s="9" t="s">
        <v>183</v>
      </c>
      <c r="D4" s="3"/>
      <c r="E4" s="3"/>
      <c r="F4" s="3"/>
      <c r="G4" s="3"/>
    </row>
    <row x14ac:dyDescent="0.25" r="5" customHeight="1" ht="409.2">
      <c r="A5" s="10" t="s">
        <v>4</v>
      </c>
      <c r="B5" s="11"/>
      <c r="C5" s="12" t="s">
        <v>184</v>
      </c>
      <c r="D5" s="3"/>
      <c r="E5" s="3"/>
      <c r="F5" s="3"/>
      <c r="G5" s="3"/>
    </row>
    <row x14ac:dyDescent="0.25" r="6" customHeight="1" ht="288">
      <c r="A6" s="13"/>
      <c r="B6" s="14"/>
      <c r="C6" s="15"/>
      <c r="D6" s="3"/>
      <c r="E6" s="3"/>
      <c r="F6" s="3"/>
      <c r="G6" s="3"/>
    </row>
    <row x14ac:dyDescent="0.25" r="7" customHeight="1" ht="363.6000000000001">
      <c r="A7" s="16"/>
      <c r="B7" s="17"/>
      <c r="C7" s="18"/>
      <c r="D7" s="3"/>
      <c r="E7" s="3"/>
      <c r="F7" s="3"/>
      <c r="G7" s="3"/>
    </row>
    <row x14ac:dyDescent="0.25" r="8" customHeight="1" ht="17.25">
      <c r="A8" s="4"/>
      <c r="B8" s="5"/>
      <c r="C8" s="3"/>
      <c r="D8" s="3"/>
      <c r="E8" s="3"/>
      <c r="F8" s="3"/>
      <c r="G8" s="3"/>
    </row>
    <row x14ac:dyDescent="0.25" r="9" customHeight="1" ht="17.25">
      <c r="A9" s="4"/>
      <c r="B9" s="5"/>
      <c r="C9" s="3"/>
      <c r="D9" s="3"/>
      <c r="E9" s="3"/>
      <c r="F9" s="3"/>
      <c r="G9" s="3"/>
    </row>
    <row x14ac:dyDescent="0.25" r="10" customHeight="1" ht="17.25">
      <c r="A10" s="6" t="s">
        <v>6</v>
      </c>
      <c r="B10" s="5"/>
      <c r="C10" s="3"/>
      <c r="D10" s="3"/>
      <c r="E10" s="3"/>
      <c r="F10" s="3"/>
      <c r="G10" s="3"/>
    </row>
    <row x14ac:dyDescent="0.25" r="11" customHeight="1" ht="17.25">
      <c r="A11" s="19" t="s">
        <v>7</v>
      </c>
      <c r="B11" s="19"/>
      <c r="C11" s="20" t="s">
        <v>8</v>
      </c>
      <c r="D11" s="21" t="s">
        <v>9</v>
      </c>
      <c r="E11" s="20" t="s">
        <v>10</v>
      </c>
      <c r="F11" s="21" t="s">
        <v>11</v>
      </c>
      <c r="G11" s="20" t="s">
        <v>12</v>
      </c>
    </row>
    <row x14ac:dyDescent="0.25" r="12" customHeight="1" ht="385.95">
      <c r="A12" s="22" t="s">
        <v>13</v>
      </c>
      <c r="B12" s="19" t="s">
        <v>14</v>
      </c>
      <c r="C12" s="20" t="s">
        <v>15</v>
      </c>
      <c r="D12" s="20" t="s">
        <v>16</v>
      </c>
      <c r="E12" s="20" t="s">
        <v>17</v>
      </c>
      <c r="F12" s="20" t="s">
        <v>18</v>
      </c>
      <c r="G12" s="20" t="s">
        <v>19</v>
      </c>
    </row>
    <row x14ac:dyDescent="0.25" r="13" customHeight="1" ht="227.69999999999996">
      <c r="A13" s="19"/>
      <c r="B13" s="19" t="s">
        <v>20</v>
      </c>
      <c r="C13" s="20" t="s">
        <v>136</v>
      </c>
      <c r="D13" s="20" t="s">
        <v>137</v>
      </c>
      <c r="E13" s="20" t="s">
        <v>138</v>
      </c>
      <c r="F13" s="20" t="s">
        <v>139</v>
      </c>
      <c r="G13" s="20" t="s">
        <v>25</v>
      </c>
    </row>
    <row x14ac:dyDescent="0.25" r="14" customHeight="1" ht="315">
      <c r="A14" s="7" t="s">
        <v>26</v>
      </c>
      <c r="B14" s="8"/>
      <c r="C14" s="23" t="s">
        <v>27</v>
      </c>
      <c r="D14" s="23" t="s">
        <v>28</v>
      </c>
      <c r="E14" s="23" t="s">
        <v>29</v>
      </c>
      <c r="F14" s="23" t="s">
        <v>30</v>
      </c>
      <c r="G14" s="23" t="s">
        <v>31</v>
      </c>
    </row>
    <row x14ac:dyDescent="0.25" r="15" customHeight="1" ht="289.2">
      <c r="A15" s="7" t="s">
        <v>32</v>
      </c>
      <c r="B15" s="8"/>
      <c r="C15" s="24" t="s">
        <v>185</v>
      </c>
      <c r="D15" s="24" t="s">
        <v>186</v>
      </c>
      <c r="E15" s="24" t="s">
        <v>187</v>
      </c>
      <c r="F15" s="24" t="s">
        <v>188</v>
      </c>
      <c r="G15" s="24" t="s">
        <v>189</v>
      </c>
    </row>
    <row x14ac:dyDescent="0.25" r="16" customHeight="1" ht="258.6">
      <c r="A16" s="25" t="s">
        <v>38</v>
      </c>
      <c r="B16" s="11"/>
      <c r="C16" s="26" t="s">
        <v>190</v>
      </c>
      <c r="D16" s="24" t="s">
        <v>191</v>
      </c>
      <c r="E16" s="24" t="s">
        <v>192</v>
      </c>
      <c r="F16" s="24" t="s">
        <v>193</v>
      </c>
      <c r="G16" s="26" t="s">
        <v>194</v>
      </c>
    </row>
    <row x14ac:dyDescent="0.25" r="17" customHeight="1" ht="17.25" customFormat="1" s="27">
      <c r="A17" s="28" t="s">
        <v>44</v>
      </c>
      <c r="B17" s="29" t="s">
        <v>195</v>
      </c>
      <c r="C17" s="20" t="s">
        <v>47</v>
      </c>
      <c r="D17" s="20" t="s">
        <v>47</v>
      </c>
      <c r="E17" s="20" t="s">
        <v>47</v>
      </c>
      <c r="F17" s="20" t="s">
        <v>47</v>
      </c>
      <c r="G17" s="20" t="s">
        <v>47</v>
      </c>
    </row>
    <row x14ac:dyDescent="0.25" r="18" customHeight="1" ht="17.25" customFormat="1" s="27">
      <c r="A18" s="29"/>
      <c r="B18" s="29" t="s">
        <v>151</v>
      </c>
      <c r="C18" s="20" t="s">
        <v>46</v>
      </c>
      <c r="D18" s="20" t="s">
        <v>46</v>
      </c>
      <c r="E18" s="20" t="s">
        <v>46</v>
      </c>
      <c r="F18" s="20" t="s">
        <v>46</v>
      </c>
      <c r="G18" s="20" t="s">
        <v>46</v>
      </c>
    </row>
    <row x14ac:dyDescent="0.25" r="19" customHeight="1" ht="17.25" customFormat="1" s="27">
      <c r="A19" s="29"/>
      <c r="B19" s="29" t="s">
        <v>196</v>
      </c>
      <c r="C19" s="20" t="s">
        <v>46</v>
      </c>
      <c r="D19" s="20" t="s">
        <v>46</v>
      </c>
      <c r="E19" s="20" t="s">
        <v>46</v>
      </c>
      <c r="F19" s="20" t="s">
        <v>46</v>
      </c>
      <c r="G19" s="20" t="s">
        <v>46</v>
      </c>
    </row>
    <row x14ac:dyDescent="0.25" r="20" customHeight="1" ht="17.25" customFormat="1" s="27">
      <c r="A20" s="29"/>
      <c r="B20" s="29" t="s">
        <v>50</v>
      </c>
      <c r="C20" s="20" t="s">
        <v>46</v>
      </c>
      <c r="D20" s="20" t="s">
        <v>46</v>
      </c>
      <c r="E20" s="20" t="s">
        <v>46</v>
      </c>
      <c r="F20" s="20" t="s">
        <v>46</v>
      </c>
      <c r="G20" s="20" t="s">
        <v>46</v>
      </c>
    </row>
    <row x14ac:dyDescent="0.25" r="21" customHeight="1" ht="17.25" customFormat="1" s="27">
      <c r="A21" s="29"/>
      <c r="B21" s="29" t="s">
        <v>51</v>
      </c>
      <c r="C21" s="20" t="s">
        <v>46</v>
      </c>
      <c r="D21" s="20" t="s">
        <v>46</v>
      </c>
      <c r="E21" s="20" t="s">
        <v>46</v>
      </c>
      <c r="F21" s="20" t="s">
        <v>46</v>
      </c>
      <c r="G21" s="20" t="s">
        <v>46</v>
      </c>
    </row>
    <row x14ac:dyDescent="0.25" r="22" customHeight="1" ht="17.25" customFormat="1" s="27">
      <c r="A22" s="29"/>
      <c r="B22" s="29" t="s">
        <v>197</v>
      </c>
      <c r="C22" s="20" t="s">
        <v>46</v>
      </c>
      <c r="D22" s="20" t="s">
        <v>46</v>
      </c>
      <c r="E22" s="20" t="s">
        <v>46</v>
      </c>
      <c r="F22" s="20" t="s">
        <v>46</v>
      </c>
      <c r="G22" s="20" t="s">
        <v>46</v>
      </c>
    </row>
    <row x14ac:dyDescent="0.25" r="23" customHeight="1" ht="17.25" customFormat="1" s="27">
      <c r="A23" s="29"/>
      <c r="B23" s="29" t="s">
        <v>53</v>
      </c>
      <c r="C23" s="20" t="s">
        <v>46</v>
      </c>
      <c r="D23" s="20" t="s">
        <v>46</v>
      </c>
      <c r="E23" s="20" t="s">
        <v>46</v>
      </c>
      <c r="F23" s="20" t="s">
        <v>46</v>
      </c>
      <c r="G23" s="20" t="s">
        <v>46</v>
      </c>
    </row>
    <row x14ac:dyDescent="0.25" r="24" customHeight="1" ht="17.25" customFormat="1" s="27">
      <c r="A24" s="29"/>
      <c r="B24" s="29" t="s">
        <v>54</v>
      </c>
      <c r="C24" s="20" t="s">
        <v>46</v>
      </c>
      <c r="D24" s="20" t="s">
        <v>46</v>
      </c>
      <c r="E24" s="20" t="s">
        <v>46</v>
      </c>
      <c r="F24" s="20" t="s">
        <v>46</v>
      </c>
      <c r="G24" s="20" t="s">
        <v>46</v>
      </c>
    </row>
    <row x14ac:dyDescent="0.25" r="25" customHeight="1" ht="17.25" customFormat="1" s="27">
      <c r="A25" s="29"/>
      <c r="B25" s="29" t="s">
        <v>55</v>
      </c>
      <c r="C25" s="20" t="s">
        <v>46</v>
      </c>
      <c r="D25" s="20" t="s">
        <v>46</v>
      </c>
      <c r="E25" s="20" t="s">
        <v>46</v>
      </c>
      <c r="F25" s="20" t="s">
        <v>46</v>
      </c>
      <c r="G25" s="20" t="s">
        <v>46</v>
      </c>
    </row>
    <row x14ac:dyDescent="0.25" r="26" customHeight="1" ht="17.25" customFormat="1" s="27">
      <c r="A26" s="29"/>
      <c r="B26" s="29" t="s">
        <v>198</v>
      </c>
      <c r="C26" s="20" t="s">
        <v>46</v>
      </c>
      <c r="D26" s="20" t="s">
        <v>46</v>
      </c>
      <c r="E26" s="20" t="s">
        <v>46</v>
      </c>
      <c r="F26" s="20" t="s">
        <v>46</v>
      </c>
      <c r="G26" s="20" t="s">
        <v>46</v>
      </c>
    </row>
    <row x14ac:dyDescent="0.25" r="27" customHeight="1" ht="17.25" customFormat="1" s="27">
      <c r="A27" s="29"/>
      <c r="B27" s="29" t="s">
        <v>57</v>
      </c>
      <c r="C27" s="20" t="s">
        <v>46</v>
      </c>
      <c r="D27" s="20" t="s">
        <v>46</v>
      </c>
      <c r="E27" s="20" t="s">
        <v>46</v>
      </c>
      <c r="F27" s="20" t="s">
        <v>46</v>
      </c>
      <c r="G27" s="20" t="s">
        <v>46</v>
      </c>
    </row>
    <row x14ac:dyDescent="0.25" r="28" customHeight="1" ht="17.25" customFormat="1" s="27">
      <c r="A28" s="29"/>
      <c r="B28" s="29" t="s">
        <v>199</v>
      </c>
      <c r="C28" s="20" t="s">
        <v>46</v>
      </c>
      <c r="D28" s="20" t="s">
        <v>46</v>
      </c>
      <c r="E28" s="20" t="s">
        <v>46</v>
      </c>
      <c r="F28" s="20" t="s">
        <v>46</v>
      </c>
      <c r="G28" s="20" t="s">
        <v>46</v>
      </c>
    </row>
    <row x14ac:dyDescent="0.25" r="29" customHeight="1" ht="17.25" customFormat="1" s="27">
      <c r="A29" s="29"/>
      <c r="B29" s="29" t="s">
        <v>59</v>
      </c>
      <c r="C29" s="20" t="s">
        <v>46</v>
      </c>
      <c r="D29" s="20" t="s">
        <v>46</v>
      </c>
      <c r="E29" s="20" t="s">
        <v>46</v>
      </c>
      <c r="F29" s="20" t="s">
        <v>46</v>
      </c>
      <c r="G29" s="20" t="s">
        <v>46</v>
      </c>
    </row>
    <row x14ac:dyDescent="0.25" r="30" customHeight="1" ht="17.25" customFormat="1" s="27">
      <c r="A30" s="29"/>
      <c r="B30" s="29" t="s">
        <v>60</v>
      </c>
      <c r="C30" s="20" t="s">
        <v>46</v>
      </c>
      <c r="D30" s="20" t="s">
        <v>46</v>
      </c>
      <c r="E30" s="20" t="s">
        <v>46</v>
      </c>
      <c r="F30" s="20" t="s">
        <v>46</v>
      </c>
      <c r="G30" s="20" t="s">
        <v>46</v>
      </c>
    </row>
    <row x14ac:dyDescent="0.25" r="31" customHeight="1" ht="17.25" customFormat="1" s="27">
      <c r="A31" s="29"/>
      <c r="B31" s="29" t="s">
        <v>61</v>
      </c>
      <c r="C31" s="20" t="s">
        <v>46</v>
      </c>
      <c r="D31" s="20" t="s">
        <v>46</v>
      </c>
      <c r="E31" s="20" t="s">
        <v>46</v>
      </c>
      <c r="F31" s="20" t="s">
        <v>46</v>
      </c>
      <c r="G31" s="20" t="s">
        <v>46</v>
      </c>
    </row>
    <row x14ac:dyDescent="0.25" r="32" customHeight="1" ht="17.25" customFormat="1" s="27">
      <c r="A32" s="29"/>
      <c r="B32" s="29" t="s">
        <v>200</v>
      </c>
      <c r="C32" s="20" t="s">
        <v>46</v>
      </c>
      <c r="D32" s="20" t="s">
        <v>46</v>
      </c>
      <c r="E32" s="20" t="s">
        <v>46</v>
      </c>
      <c r="F32" s="20" t="s">
        <v>46</v>
      </c>
      <c r="G32" s="20" t="s">
        <v>46</v>
      </c>
    </row>
    <row x14ac:dyDescent="0.25" r="33" customHeight="1" ht="17.25">
      <c r="A33" s="30" t="s">
        <v>64</v>
      </c>
      <c r="B33" s="31" t="s">
        <v>65</v>
      </c>
      <c r="C33" s="51" t="s">
        <v>46</v>
      </c>
      <c r="D33" s="51" t="s">
        <v>46</v>
      </c>
      <c r="E33" s="20" t="s">
        <v>46</v>
      </c>
      <c r="F33" s="20" t="s">
        <v>46</v>
      </c>
      <c r="G33" s="20" t="s">
        <v>46</v>
      </c>
    </row>
    <row x14ac:dyDescent="0.25" r="34" customHeight="1" ht="17.25">
      <c r="A34" s="32"/>
      <c r="B34" s="33" t="s">
        <v>66</v>
      </c>
      <c r="C34" s="51" t="s">
        <v>46</v>
      </c>
      <c r="D34" s="51" t="s">
        <v>46</v>
      </c>
      <c r="E34" s="20" t="s">
        <v>46</v>
      </c>
      <c r="F34" s="20" t="s">
        <v>46</v>
      </c>
      <c r="G34" s="20" t="s">
        <v>46</v>
      </c>
    </row>
    <row x14ac:dyDescent="0.25" r="35" customHeight="1" ht="17.25">
      <c r="A35" s="32"/>
      <c r="B35" s="33" t="s">
        <v>67</v>
      </c>
      <c r="C35" s="51" t="s">
        <v>46</v>
      </c>
      <c r="D35" s="51" t="s">
        <v>46</v>
      </c>
      <c r="E35" s="20" t="s">
        <v>46</v>
      </c>
      <c r="F35" s="20" t="s">
        <v>46</v>
      </c>
      <c r="G35" s="20" t="s">
        <v>46</v>
      </c>
    </row>
    <row x14ac:dyDescent="0.25" r="36" customHeight="1" ht="17.25">
      <c r="A36" s="32"/>
      <c r="B36" s="33" t="s">
        <v>68</v>
      </c>
      <c r="C36" s="51" t="s">
        <v>46</v>
      </c>
      <c r="D36" s="51" t="s">
        <v>46</v>
      </c>
      <c r="E36" s="20" t="s">
        <v>46</v>
      </c>
      <c r="F36" s="20" t="s">
        <v>46</v>
      </c>
      <c r="G36" s="20" t="s">
        <v>46</v>
      </c>
    </row>
    <row x14ac:dyDescent="0.25" r="37" customHeight="1" ht="17.25">
      <c r="A37" s="32"/>
      <c r="B37" s="33" t="s">
        <v>69</v>
      </c>
      <c r="C37" s="51" t="s">
        <v>46</v>
      </c>
      <c r="D37" s="51" t="s">
        <v>46</v>
      </c>
      <c r="E37" s="20" t="s">
        <v>46</v>
      </c>
      <c r="F37" s="20" t="s">
        <v>46</v>
      </c>
      <c r="G37" s="20" t="s">
        <v>46</v>
      </c>
    </row>
    <row x14ac:dyDescent="0.25" r="38" customHeight="1" ht="17.25">
      <c r="A38" s="32"/>
      <c r="B38" s="33" t="s">
        <v>70</v>
      </c>
      <c r="C38" s="51" t="s">
        <v>46</v>
      </c>
      <c r="D38" s="51" t="s">
        <v>46</v>
      </c>
      <c r="E38" s="51" t="s">
        <v>46</v>
      </c>
      <c r="F38" s="20" t="s">
        <v>46</v>
      </c>
      <c r="G38" s="20" t="s">
        <v>46</v>
      </c>
    </row>
    <row x14ac:dyDescent="0.25" r="39" customHeight="1" ht="17.25">
      <c r="A39" s="32"/>
      <c r="B39" s="33" t="s">
        <v>71</v>
      </c>
      <c r="C39" s="51" t="s">
        <v>46</v>
      </c>
      <c r="D39" s="51" t="s">
        <v>46</v>
      </c>
      <c r="E39" s="51" t="s">
        <v>46</v>
      </c>
      <c r="F39" s="20" t="s">
        <v>46</v>
      </c>
      <c r="G39" s="20" t="s">
        <v>46</v>
      </c>
    </row>
    <row x14ac:dyDescent="0.25" r="40" customHeight="1" ht="17.25">
      <c r="A40" s="32"/>
      <c r="B40" s="33" t="s">
        <v>72</v>
      </c>
      <c r="C40" s="51" t="s">
        <v>46</v>
      </c>
      <c r="D40" s="51" t="s">
        <v>46</v>
      </c>
      <c r="E40" s="51" t="s">
        <v>46</v>
      </c>
      <c r="F40" s="51" t="s">
        <v>46</v>
      </c>
      <c r="G40" s="20" t="s">
        <v>46</v>
      </c>
    </row>
    <row x14ac:dyDescent="0.25" r="41" customHeight="1" ht="17.25">
      <c r="A41" s="34" t="s">
        <v>73</v>
      </c>
      <c r="B41" s="35"/>
      <c r="C41" s="36">
        <f>COUNTIF(C17:C40,"○")/24*100</f>
      </c>
      <c r="D41" s="36">
        <f>COUNTIF(D17:D40,"○")/24*100</f>
      </c>
      <c r="E41" s="36">
        <f>COUNTIF(E17:E40,"○")/24*100</f>
      </c>
      <c r="F41" s="36">
        <f>COUNTIF(F17:F40,"○")/24*100</f>
      </c>
      <c r="G41" s="36">
        <f>COUNTIF(G17:G40,"○")/24*100</f>
      </c>
    </row>
    <row x14ac:dyDescent="0.25" r="42" customHeight="1" ht="115.95">
      <c r="A42" s="34" t="s">
        <v>74</v>
      </c>
      <c r="B42" s="35"/>
      <c r="C42" s="23"/>
      <c r="D42" s="23"/>
      <c r="E42" s="23"/>
      <c r="F42" s="23"/>
      <c r="G42" s="20"/>
    </row>
    <row x14ac:dyDescent="0.25" r="43" customHeight="1" ht="17.25">
      <c r="A43" s="37" t="s">
        <v>75</v>
      </c>
      <c r="B43" s="38" t="s">
        <v>76</v>
      </c>
      <c r="C43" s="39">
        <f>LEN(C15)</f>
      </c>
      <c r="D43" s="40">
        <f>LEN(D15)</f>
      </c>
      <c r="E43" s="39">
        <f>LEN(E15)</f>
      </c>
      <c r="F43" s="40">
        <f>LEN(F15)</f>
      </c>
      <c r="G43" s="39">
        <f>LEN(G15)</f>
      </c>
    </row>
    <row x14ac:dyDescent="0.25" r="44" customHeight="1" ht="17.25">
      <c r="A44" s="41"/>
      <c r="B44" s="38" t="s">
        <v>77</v>
      </c>
      <c r="C44" s="39">
        <f>LEN(C16)</f>
      </c>
      <c r="D44" s="40">
        <f>LEN(D16)</f>
      </c>
      <c r="E44" s="39">
        <f>LEN(E16)</f>
      </c>
      <c r="F44" s="40">
        <f>LEN(F16)</f>
      </c>
      <c r="G44" s="39">
        <f>LEN(G16)</f>
      </c>
    </row>
    <row x14ac:dyDescent="0.25" r="45" customHeight="1" ht="17.25">
      <c r="A45" s="4"/>
      <c r="B45" s="42"/>
      <c r="C45" s="3"/>
      <c r="D45" s="43"/>
      <c r="E45" s="3"/>
      <c r="F45" s="43"/>
      <c r="G45" s="3"/>
    </row>
    <row x14ac:dyDescent="0.25" r="46" customHeight="1" ht="17.25">
      <c r="A46" s="6" t="s">
        <v>78</v>
      </c>
      <c r="B46" s="5"/>
      <c r="C46" s="3"/>
      <c r="D46" s="3"/>
      <c r="E46" s="3"/>
      <c r="F46" s="3"/>
      <c r="G46" s="3"/>
    </row>
    <row x14ac:dyDescent="0.25" r="47" customHeight="1" ht="17.25">
      <c r="A47" s="19" t="s">
        <v>7</v>
      </c>
      <c r="B47" s="19"/>
      <c r="C47" s="44" t="s">
        <v>79</v>
      </c>
      <c r="D47" s="44" t="s">
        <v>80</v>
      </c>
      <c r="E47" s="44" t="s">
        <v>81</v>
      </c>
      <c r="F47" s="44" t="s">
        <v>82</v>
      </c>
      <c r="G47" s="44" t="s">
        <v>83</v>
      </c>
    </row>
    <row x14ac:dyDescent="0.25" r="48" customHeight="1" ht="386.7">
      <c r="A48" s="22" t="s">
        <v>13</v>
      </c>
      <c r="B48" s="19" t="s">
        <v>14</v>
      </c>
      <c r="C48" s="20" t="s">
        <v>84</v>
      </c>
      <c r="D48" s="20" t="s">
        <v>85</v>
      </c>
      <c r="E48" s="20" t="s">
        <v>86</v>
      </c>
      <c r="F48" s="20" t="s">
        <v>87</v>
      </c>
      <c r="G48" s="20" t="s">
        <v>88</v>
      </c>
    </row>
    <row x14ac:dyDescent="0.25" r="49" customHeight="1" ht="225.6">
      <c r="A49" s="19"/>
      <c r="B49" s="19" t="s">
        <v>20</v>
      </c>
      <c r="C49" s="20" t="s">
        <v>167</v>
      </c>
      <c r="D49" s="20" t="s">
        <v>168</v>
      </c>
      <c r="E49" s="20" t="s">
        <v>169</v>
      </c>
      <c r="F49" s="20" t="s">
        <v>170</v>
      </c>
      <c r="G49" s="20" t="s">
        <v>171</v>
      </c>
    </row>
    <row x14ac:dyDescent="0.25" r="50" customHeight="1" ht="238.19999999999996">
      <c r="A50" s="7" t="s">
        <v>26</v>
      </c>
      <c r="B50" s="8"/>
      <c r="C50" s="23" t="s">
        <v>94</v>
      </c>
      <c r="D50" s="23" t="s">
        <v>95</v>
      </c>
      <c r="E50" s="23" t="s">
        <v>96</v>
      </c>
      <c r="F50" s="23" t="s">
        <v>97</v>
      </c>
      <c r="G50" s="23" t="s">
        <v>98</v>
      </c>
    </row>
    <row x14ac:dyDescent="0.25" r="51" customHeight="1" ht="255">
      <c r="A51" s="7" t="s">
        <v>32</v>
      </c>
      <c r="B51" s="8"/>
      <c r="C51" s="24" t="s">
        <v>201</v>
      </c>
      <c r="D51" s="24" t="s">
        <v>202</v>
      </c>
      <c r="E51" s="24" t="s">
        <v>203</v>
      </c>
      <c r="F51" s="24" t="s">
        <v>204</v>
      </c>
      <c r="G51" s="24" t="s">
        <v>205</v>
      </c>
    </row>
    <row x14ac:dyDescent="0.25" r="52" customHeight="1" ht="253.19999999999996">
      <c r="A52" s="25" t="s">
        <v>38</v>
      </c>
      <c r="B52" s="11"/>
      <c r="C52" s="26" t="s">
        <v>206</v>
      </c>
      <c r="D52" s="24" t="s">
        <v>207</v>
      </c>
      <c r="E52" s="24" t="s">
        <v>208</v>
      </c>
      <c r="F52" s="24" t="s">
        <v>209</v>
      </c>
      <c r="G52" s="26" t="s">
        <v>210</v>
      </c>
    </row>
    <row x14ac:dyDescent="0.25" r="53" customHeight="1" ht="17.25">
      <c r="A53" s="45" t="s">
        <v>44</v>
      </c>
      <c r="B53" s="29" t="s">
        <v>195</v>
      </c>
      <c r="C53" s="46" t="s">
        <v>47</v>
      </c>
      <c r="D53" s="46" t="s">
        <v>47</v>
      </c>
      <c r="E53" s="46" t="s">
        <v>47</v>
      </c>
      <c r="F53" s="46" t="s">
        <v>47</v>
      </c>
      <c r="G53" s="46" t="s">
        <v>47</v>
      </c>
    </row>
    <row x14ac:dyDescent="0.25" r="54" customHeight="1" ht="17.25">
      <c r="A54" s="47"/>
      <c r="B54" s="29" t="s">
        <v>151</v>
      </c>
      <c r="C54" s="46" t="s">
        <v>46</v>
      </c>
      <c r="D54" s="46" t="s">
        <v>46</v>
      </c>
      <c r="E54" s="46" t="s">
        <v>46</v>
      </c>
      <c r="F54" s="46" t="s">
        <v>46</v>
      </c>
      <c r="G54" s="46" t="s">
        <v>46</v>
      </c>
    </row>
    <row x14ac:dyDescent="0.25" r="55" customHeight="1" ht="17.25">
      <c r="A55" s="47"/>
      <c r="B55" s="29" t="s">
        <v>196</v>
      </c>
      <c r="C55" s="46" t="s">
        <v>46</v>
      </c>
      <c r="D55" s="46" t="s">
        <v>46</v>
      </c>
      <c r="E55" s="46" t="s">
        <v>46</v>
      </c>
      <c r="F55" s="46" t="s">
        <v>46</v>
      </c>
      <c r="G55" s="46" t="s">
        <v>46</v>
      </c>
    </row>
    <row x14ac:dyDescent="0.25" r="56" customHeight="1" ht="17.25">
      <c r="A56" s="47"/>
      <c r="B56" s="29" t="s">
        <v>50</v>
      </c>
      <c r="C56" s="46" t="s">
        <v>46</v>
      </c>
      <c r="D56" s="46" t="s">
        <v>46</v>
      </c>
      <c r="E56" s="46" t="s">
        <v>46</v>
      </c>
      <c r="F56" s="46" t="s">
        <v>46</v>
      </c>
      <c r="G56" s="46" t="s">
        <v>46</v>
      </c>
    </row>
    <row x14ac:dyDescent="0.25" r="57" customHeight="1" ht="17.25">
      <c r="A57" s="47"/>
      <c r="B57" s="29" t="s">
        <v>51</v>
      </c>
      <c r="C57" s="46" t="s">
        <v>46</v>
      </c>
      <c r="D57" s="46" t="s">
        <v>46</v>
      </c>
      <c r="E57" s="46" t="s">
        <v>46</v>
      </c>
      <c r="F57" s="46" t="s">
        <v>46</v>
      </c>
      <c r="G57" s="46" t="s">
        <v>46</v>
      </c>
    </row>
    <row x14ac:dyDescent="0.25" r="58" customHeight="1" ht="17.25">
      <c r="A58" s="47"/>
      <c r="B58" s="29" t="s">
        <v>197</v>
      </c>
      <c r="C58" s="46" t="s">
        <v>46</v>
      </c>
      <c r="D58" s="46" t="s">
        <v>46</v>
      </c>
      <c r="E58" s="46" t="s">
        <v>46</v>
      </c>
      <c r="F58" s="46" t="s">
        <v>46</v>
      </c>
      <c r="G58" s="46" t="s">
        <v>46</v>
      </c>
    </row>
    <row x14ac:dyDescent="0.25" r="59" customHeight="1" ht="17.25">
      <c r="A59" s="47"/>
      <c r="B59" s="29" t="s">
        <v>53</v>
      </c>
      <c r="C59" s="46" t="s">
        <v>46</v>
      </c>
      <c r="D59" s="46" t="s">
        <v>46</v>
      </c>
      <c r="E59" s="46" t="s">
        <v>46</v>
      </c>
      <c r="F59" s="46" t="s">
        <v>46</v>
      </c>
      <c r="G59" s="46" t="s">
        <v>46</v>
      </c>
    </row>
    <row x14ac:dyDescent="0.25" r="60" customHeight="1" ht="17.25">
      <c r="A60" s="47"/>
      <c r="B60" s="29" t="s">
        <v>54</v>
      </c>
      <c r="C60" s="46" t="s">
        <v>46</v>
      </c>
      <c r="D60" s="46" t="s">
        <v>46</v>
      </c>
      <c r="E60" s="46" t="s">
        <v>46</v>
      </c>
      <c r="F60" s="46" t="s">
        <v>46</v>
      </c>
      <c r="G60" s="46" t="s">
        <v>46</v>
      </c>
    </row>
    <row x14ac:dyDescent="0.25" r="61" customHeight="1" ht="17.25">
      <c r="A61" s="47"/>
      <c r="B61" s="29" t="s">
        <v>55</v>
      </c>
      <c r="C61" s="46" t="s">
        <v>46</v>
      </c>
      <c r="D61" s="46" t="s">
        <v>46</v>
      </c>
      <c r="E61" s="46" t="s">
        <v>46</v>
      </c>
      <c r="F61" s="46" t="s">
        <v>46</v>
      </c>
      <c r="G61" s="46" t="s">
        <v>46</v>
      </c>
    </row>
    <row x14ac:dyDescent="0.25" r="62" customHeight="1" ht="17.25">
      <c r="A62" s="47"/>
      <c r="B62" s="29" t="s">
        <v>198</v>
      </c>
      <c r="C62" s="46" t="s">
        <v>46</v>
      </c>
      <c r="D62" s="46" t="s">
        <v>46</v>
      </c>
      <c r="E62" s="46" t="s">
        <v>46</v>
      </c>
      <c r="F62" s="46" t="s">
        <v>46</v>
      </c>
      <c r="G62" s="46" t="s">
        <v>46</v>
      </c>
    </row>
    <row x14ac:dyDescent="0.25" r="63" customHeight="1" ht="17.25">
      <c r="A63" s="47"/>
      <c r="B63" s="29" t="s">
        <v>57</v>
      </c>
      <c r="C63" s="46" t="s">
        <v>46</v>
      </c>
      <c r="D63" s="46" t="s">
        <v>46</v>
      </c>
      <c r="E63" s="46" t="s">
        <v>46</v>
      </c>
      <c r="F63" s="46" t="s">
        <v>46</v>
      </c>
      <c r="G63" s="46" t="s">
        <v>46</v>
      </c>
    </row>
    <row x14ac:dyDescent="0.25" r="64" customHeight="1" ht="17.25">
      <c r="A64" s="47"/>
      <c r="B64" s="29" t="s">
        <v>199</v>
      </c>
      <c r="C64" s="46" t="s">
        <v>46</v>
      </c>
      <c r="D64" s="46" t="s">
        <v>46</v>
      </c>
      <c r="E64" s="46" t="s">
        <v>46</v>
      </c>
      <c r="F64" s="46" t="s">
        <v>46</v>
      </c>
      <c r="G64" s="46" t="s">
        <v>46</v>
      </c>
    </row>
    <row x14ac:dyDescent="0.25" r="65" customHeight="1" ht="17.25">
      <c r="A65" s="47"/>
      <c r="B65" s="29" t="s">
        <v>59</v>
      </c>
      <c r="C65" s="46" t="s">
        <v>46</v>
      </c>
      <c r="D65" s="46" t="s">
        <v>46</v>
      </c>
      <c r="E65" s="46" t="s">
        <v>46</v>
      </c>
      <c r="F65" s="46" t="s">
        <v>46</v>
      </c>
      <c r="G65" s="46" t="s">
        <v>46</v>
      </c>
    </row>
    <row x14ac:dyDescent="0.25" r="66" customHeight="1" ht="17.25">
      <c r="A66" s="47"/>
      <c r="B66" s="29" t="s">
        <v>60</v>
      </c>
      <c r="C66" s="46" t="s">
        <v>46</v>
      </c>
      <c r="D66" s="46" t="s">
        <v>46</v>
      </c>
      <c r="E66" s="46" t="s">
        <v>46</v>
      </c>
      <c r="F66" s="46" t="s">
        <v>46</v>
      </c>
      <c r="G66" s="46" t="s">
        <v>46</v>
      </c>
    </row>
    <row x14ac:dyDescent="0.25" r="67" customHeight="1" ht="17.25">
      <c r="A67" s="47"/>
      <c r="B67" s="29" t="s">
        <v>61</v>
      </c>
      <c r="C67" s="46" t="s">
        <v>46</v>
      </c>
      <c r="D67" s="46" t="s">
        <v>46</v>
      </c>
      <c r="E67" s="46" t="s">
        <v>46</v>
      </c>
      <c r="F67" s="46" t="s">
        <v>46</v>
      </c>
      <c r="G67" s="46" t="s">
        <v>46</v>
      </c>
    </row>
    <row x14ac:dyDescent="0.25" r="68" customHeight="1" ht="17.25">
      <c r="A68" s="47"/>
      <c r="B68" s="29" t="s">
        <v>200</v>
      </c>
      <c r="C68" s="46" t="s">
        <v>46</v>
      </c>
      <c r="D68" s="46" t="s">
        <v>46</v>
      </c>
      <c r="E68" s="46" t="s">
        <v>46</v>
      </c>
      <c r="F68" s="46" t="s">
        <v>46</v>
      </c>
      <c r="G68" s="46" t="s">
        <v>46</v>
      </c>
    </row>
    <row x14ac:dyDescent="0.25" r="69" customHeight="1" ht="17.25">
      <c r="A69" s="30" t="s">
        <v>64</v>
      </c>
      <c r="B69" s="31" t="s">
        <v>65</v>
      </c>
      <c r="C69" s="51" t="s">
        <v>46</v>
      </c>
      <c r="D69" s="51" t="s">
        <v>46</v>
      </c>
      <c r="E69" s="51" t="s">
        <v>46</v>
      </c>
      <c r="F69" s="51" t="s">
        <v>46</v>
      </c>
      <c r="G69" s="51" t="s">
        <v>46</v>
      </c>
    </row>
    <row x14ac:dyDescent="0.25" r="70" customHeight="1" ht="17.25">
      <c r="A70" s="32"/>
      <c r="B70" s="33" t="s">
        <v>66</v>
      </c>
      <c r="C70" s="51" t="s">
        <v>46</v>
      </c>
      <c r="D70" s="51" t="s">
        <v>46</v>
      </c>
      <c r="E70" s="51" t="s">
        <v>46</v>
      </c>
      <c r="F70" s="51" t="s">
        <v>46</v>
      </c>
      <c r="G70" s="51" t="s">
        <v>46</v>
      </c>
    </row>
    <row x14ac:dyDescent="0.25" r="71" customHeight="1" ht="17.25">
      <c r="A71" s="32"/>
      <c r="B71" s="33" t="s">
        <v>67</v>
      </c>
      <c r="C71" s="51" t="s">
        <v>46</v>
      </c>
      <c r="D71" s="51" t="s">
        <v>46</v>
      </c>
      <c r="E71" s="51" t="s">
        <v>46</v>
      </c>
      <c r="F71" s="51" t="s">
        <v>46</v>
      </c>
      <c r="G71" s="51" t="s">
        <v>46</v>
      </c>
    </row>
    <row x14ac:dyDescent="0.25" r="72" customHeight="1" ht="17.25">
      <c r="A72" s="32"/>
      <c r="B72" s="33" t="s">
        <v>68</v>
      </c>
      <c r="C72" s="51" t="s">
        <v>46</v>
      </c>
      <c r="D72" s="51" t="s">
        <v>46</v>
      </c>
      <c r="E72" s="51" t="s">
        <v>46</v>
      </c>
      <c r="F72" s="51" t="s">
        <v>46</v>
      </c>
      <c r="G72" s="51" t="s">
        <v>46</v>
      </c>
    </row>
    <row x14ac:dyDescent="0.25" r="73" customHeight="1" ht="17.25">
      <c r="A73" s="32"/>
      <c r="B73" s="33" t="s">
        <v>69</v>
      </c>
      <c r="C73" s="51" t="s">
        <v>46</v>
      </c>
      <c r="D73" s="51" t="s">
        <v>46</v>
      </c>
      <c r="E73" s="51" t="s">
        <v>46</v>
      </c>
      <c r="F73" s="51" t="s">
        <v>46</v>
      </c>
      <c r="G73" s="51" t="s">
        <v>46</v>
      </c>
    </row>
    <row x14ac:dyDescent="0.25" r="74" customHeight="1" ht="17.25">
      <c r="A74" s="32"/>
      <c r="B74" s="33" t="s">
        <v>70</v>
      </c>
      <c r="C74" s="51" t="s">
        <v>46</v>
      </c>
      <c r="D74" s="51" t="s">
        <v>46</v>
      </c>
      <c r="E74" s="51" t="s">
        <v>46</v>
      </c>
      <c r="F74" s="51" t="s">
        <v>46</v>
      </c>
      <c r="G74" s="51" t="s">
        <v>46</v>
      </c>
    </row>
    <row x14ac:dyDescent="0.25" r="75" customHeight="1" ht="17.25">
      <c r="A75" s="32"/>
      <c r="B75" s="33" t="s">
        <v>71</v>
      </c>
      <c r="C75" s="51" t="s">
        <v>46</v>
      </c>
      <c r="D75" s="51" t="s">
        <v>46</v>
      </c>
      <c r="E75" s="51" t="s">
        <v>46</v>
      </c>
      <c r="F75" s="51" t="s">
        <v>46</v>
      </c>
      <c r="G75" s="51" t="s">
        <v>46</v>
      </c>
    </row>
    <row x14ac:dyDescent="0.25" r="76" customHeight="1" ht="17.25">
      <c r="A76" s="32"/>
      <c r="B76" s="33" t="s">
        <v>72</v>
      </c>
      <c r="C76" s="51" t="s">
        <v>46</v>
      </c>
      <c r="D76" s="51" t="s">
        <v>46</v>
      </c>
      <c r="E76" s="51" t="s">
        <v>46</v>
      </c>
      <c r="F76" s="51" t="s">
        <v>46</v>
      </c>
      <c r="G76" s="51" t="s">
        <v>46</v>
      </c>
    </row>
    <row x14ac:dyDescent="0.25" r="77" customHeight="1" ht="17.25">
      <c r="A77" s="34" t="s">
        <v>73</v>
      </c>
      <c r="B77" s="35"/>
      <c r="C77" s="36">
        <f>COUNTIF(C53:C76,"○")/24*100</f>
      </c>
      <c r="D77" s="36">
        <f>COUNTIF(D53:D76,"○")/24*100</f>
      </c>
      <c r="E77" s="36">
        <f>COUNTIF(E53:E76,"○")/24*100</f>
      </c>
      <c r="F77" s="36">
        <f>COUNTIF(F53:F76,"○")/24*100</f>
      </c>
      <c r="G77" s="36">
        <f>COUNTIF(G53:G76,"○")/24*100</f>
      </c>
    </row>
    <row x14ac:dyDescent="0.25" r="78" customHeight="1" ht="115.95">
      <c r="A78" s="34" t="s">
        <v>74</v>
      </c>
      <c r="B78" s="35"/>
      <c r="C78" s="23"/>
      <c r="D78" s="23"/>
      <c r="E78" s="23"/>
      <c r="F78" s="23"/>
      <c r="G78" s="20"/>
    </row>
    <row x14ac:dyDescent="0.25" r="79" customHeight="1" ht="17.25">
      <c r="A79" s="37" t="s">
        <v>75</v>
      </c>
      <c r="B79" s="38" t="s">
        <v>76</v>
      </c>
      <c r="C79" s="40">
        <f>LEN(C51)</f>
      </c>
      <c r="D79" s="40">
        <f>LEN(D51)</f>
      </c>
      <c r="E79" s="40">
        <f>LEN(E51)</f>
      </c>
      <c r="F79" s="40">
        <f>LEN(F51)</f>
      </c>
      <c r="G79" s="40">
        <f>LEN(G51)</f>
      </c>
    </row>
    <row x14ac:dyDescent="0.25" r="80" customHeight="1" ht="17.25">
      <c r="A80" s="41"/>
      <c r="B80" s="38" t="s">
        <v>77</v>
      </c>
      <c r="C80" s="40">
        <f>LEN(C52)</f>
      </c>
      <c r="D80" s="40">
        <f>LEN(D52)</f>
      </c>
      <c r="E80" s="40">
        <f>LEN(E52)</f>
      </c>
      <c r="F80" s="40">
        <f>LEN(F52)</f>
      </c>
      <c r="G80" s="40">
        <f>LEN(G52)</f>
      </c>
    </row>
  </sheetData>
  <mergeCells count="23">
    <mergeCell ref="A4:B4"/>
    <mergeCell ref="A5:B7"/>
    <mergeCell ref="C5:C7"/>
    <mergeCell ref="A11:B11"/>
    <mergeCell ref="A12:A13"/>
    <mergeCell ref="A14:B14"/>
    <mergeCell ref="A15:B15"/>
    <mergeCell ref="A16:B16"/>
    <mergeCell ref="A17:A32"/>
    <mergeCell ref="A33:A40"/>
    <mergeCell ref="A41:B41"/>
    <mergeCell ref="A42:B42"/>
    <mergeCell ref="A43:A44"/>
    <mergeCell ref="A47:B47"/>
    <mergeCell ref="A48:A49"/>
    <mergeCell ref="A50:B50"/>
    <mergeCell ref="A51:B51"/>
    <mergeCell ref="A52:B52"/>
    <mergeCell ref="A53:A68"/>
    <mergeCell ref="A69:A76"/>
    <mergeCell ref="A77:B77"/>
    <mergeCell ref="A78:B78"/>
    <mergeCell ref="A79:A8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82"/>
  <sheetViews>
    <sheetView workbookViewId="0"/>
  </sheetViews>
  <sheetFormatPr defaultRowHeight="15" x14ac:dyDescent="0.25"/>
  <cols>
    <col min="1" max="1" style="48" width="22.14785714285714" customWidth="1" bestFit="1"/>
    <col min="2" max="2" style="49" width="46.14785714285715" customWidth="1" bestFit="1"/>
    <col min="3" max="3" style="50" width="99.7192857142857" customWidth="1" bestFit="1"/>
    <col min="4" max="4" style="50" width="99.7192857142857" customWidth="1" bestFit="1"/>
    <col min="5" max="5" style="50" width="99.7192857142857" customWidth="1" bestFit="1"/>
    <col min="6" max="6" style="50" width="99.7192857142857" customWidth="1" bestFit="1"/>
    <col min="7" max="7" style="50" width="99.7192857142857" customWidth="1" bestFit="1"/>
  </cols>
  <sheetData>
    <row x14ac:dyDescent="0.25" r="1" customHeight="1" ht="17.25">
      <c r="A1" s="1" t="s">
        <v>133</v>
      </c>
      <c r="B1" s="1"/>
      <c r="C1" s="2"/>
      <c r="D1" s="3"/>
      <c r="E1" s="3"/>
      <c r="F1" s="3"/>
      <c r="G1" s="3"/>
    </row>
    <row x14ac:dyDescent="0.25" r="2" customHeight="1" ht="17.25">
      <c r="A2" s="4"/>
      <c r="B2" s="5"/>
      <c r="C2" s="3"/>
      <c r="D2" s="3"/>
      <c r="E2" s="3"/>
      <c r="F2" s="3"/>
      <c r="G2" s="3"/>
    </row>
    <row x14ac:dyDescent="0.25" r="3" customHeight="1" ht="17.25">
      <c r="A3" s="6" t="s">
        <v>1</v>
      </c>
      <c r="B3" s="5"/>
      <c r="C3" s="3"/>
      <c r="D3" s="3"/>
      <c r="E3" s="3"/>
      <c r="F3" s="3"/>
      <c r="G3" s="3"/>
    </row>
    <row x14ac:dyDescent="0.25" r="4" customHeight="1" ht="17.25">
      <c r="A4" s="7" t="s">
        <v>2</v>
      </c>
      <c r="B4" s="8"/>
      <c r="C4" s="9" t="s">
        <v>134</v>
      </c>
      <c r="D4" s="3"/>
      <c r="E4" s="3"/>
      <c r="F4" s="3"/>
      <c r="G4" s="3"/>
    </row>
    <row x14ac:dyDescent="0.25" r="5" customHeight="1" ht="409.2">
      <c r="A5" s="10" t="s">
        <v>4</v>
      </c>
      <c r="B5" s="11"/>
      <c r="C5" s="12" t="s">
        <v>135</v>
      </c>
      <c r="D5" s="3"/>
      <c r="E5" s="3"/>
      <c r="F5" s="3"/>
      <c r="G5" s="3"/>
    </row>
    <row x14ac:dyDescent="0.25" r="6" customHeight="1" ht="288">
      <c r="A6" s="13"/>
      <c r="B6" s="14"/>
      <c r="C6" s="15"/>
      <c r="D6" s="3"/>
      <c r="E6" s="3"/>
      <c r="F6" s="3"/>
      <c r="G6" s="3"/>
    </row>
    <row x14ac:dyDescent="0.25" r="7" customHeight="1" ht="363.6000000000001">
      <c r="A7" s="16"/>
      <c r="B7" s="17"/>
      <c r="C7" s="18"/>
      <c r="D7" s="3"/>
      <c r="E7" s="3"/>
      <c r="F7" s="3"/>
      <c r="G7" s="3"/>
    </row>
    <row x14ac:dyDescent="0.25" r="8" customHeight="1" ht="17.25">
      <c r="A8" s="4"/>
      <c r="B8" s="5"/>
      <c r="C8" s="3"/>
      <c r="D8" s="3"/>
      <c r="E8" s="3"/>
      <c r="F8" s="3"/>
      <c r="G8" s="3"/>
    </row>
    <row x14ac:dyDescent="0.25" r="9" customHeight="1" ht="17.25">
      <c r="A9" s="4"/>
      <c r="B9" s="5"/>
      <c r="C9" s="3"/>
      <c r="D9" s="3"/>
      <c r="E9" s="3"/>
      <c r="F9" s="3"/>
      <c r="G9" s="3"/>
    </row>
    <row x14ac:dyDescent="0.25" r="10" customHeight="1" ht="17.25">
      <c r="A10" s="6" t="s">
        <v>6</v>
      </c>
      <c r="B10" s="5"/>
      <c r="C10" s="3"/>
      <c r="D10" s="3"/>
      <c r="E10" s="3"/>
      <c r="F10" s="3"/>
      <c r="G10" s="3"/>
    </row>
    <row x14ac:dyDescent="0.25" r="11" customHeight="1" ht="17.25">
      <c r="A11" s="19" t="s">
        <v>7</v>
      </c>
      <c r="B11" s="19"/>
      <c r="C11" s="20" t="s">
        <v>8</v>
      </c>
      <c r="D11" s="21" t="s">
        <v>9</v>
      </c>
      <c r="E11" s="20" t="s">
        <v>10</v>
      </c>
      <c r="F11" s="21" t="s">
        <v>11</v>
      </c>
      <c r="G11" s="20" t="s">
        <v>12</v>
      </c>
    </row>
    <row x14ac:dyDescent="0.25" r="12" customHeight="1" ht="385.95">
      <c r="A12" s="22" t="s">
        <v>13</v>
      </c>
      <c r="B12" s="19" t="s">
        <v>14</v>
      </c>
      <c r="C12" s="20" t="s">
        <v>15</v>
      </c>
      <c r="D12" s="20" t="s">
        <v>16</v>
      </c>
      <c r="E12" s="20" t="s">
        <v>17</v>
      </c>
      <c r="F12" s="20" t="s">
        <v>18</v>
      </c>
      <c r="G12" s="20" t="s">
        <v>19</v>
      </c>
    </row>
    <row x14ac:dyDescent="0.25" r="13" customHeight="1" ht="227.69999999999996">
      <c r="A13" s="19"/>
      <c r="B13" s="19" t="s">
        <v>20</v>
      </c>
      <c r="C13" s="20" t="s">
        <v>136</v>
      </c>
      <c r="D13" s="20" t="s">
        <v>137</v>
      </c>
      <c r="E13" s="20" t="s">
        <v>138</v>
      </c>
      <c r="F13" s="20" t="s">
        <v>139</v>
      </c>
      <c r="G13" s="20" t="s">
        <v>25</v>
      </c>
    </row>
    <row x14ac:dyDescent="0.25" r="14" customHeight="1" ht="315">
      <c r="A14" s="7" t="s">
        <v>26</v>
      </c>
      <c r="B14" s="8"/>
      <c r="C14" s="23" t="s">
        <v>27</v>
      </c>
      <c r="D14" s="23" t="s">
        <v>28</v>
      </c>
      <c r="E14" s="23" t="s">
        <v>29</v>
      </c>
      <c r="F14" s="23" t="s">
        <v>30</v>
      </c>
      <c r="G14" s="23" t="s">
        <v>31</v>
      </c>
    </row>
    <row x14ac:dyDescent="0.25" r="15" customHeight="1" ht="289.2">
      <c r="A15" s="7" t="s">
        <v>32</v>
      </c>
      <c r="B15" s="8"/>
      <c r="C15" s="24" t="s">
        <v>140</v>
      </c>
      <c r="D15" s="24" t="s">
        <v>141</v>
      </c>
      <c r="E15" s="24" t="s">
        <v>142</v>
      </c>
      <c r="F15" s="24" t="s">
        <v>143</v>
      </c>
      <c r="G15" s="24" t="s">
        <v>144</v>
      </c>
    </row>
    <row x14ac:dyDescent="0.25" r="16" customHeight="1" ht="258.6">
      <c r="A16" s="25" t="s">
        <v>38</v>
      </c>
      <c r="B16" s="11"/>
      <c r="C16" s="26" t="s">
        <v>145</v>
      </c>
      <c r="D16" s="24" t="s">
        <v>146</v>
      </c>
      <c r="E16" s="24" t="s">
        <v>147</v>
      </c>
      <c r="F16" s="24" t="s">
        <v>148</v>
      </c>
      <c r="G16" s="26" t="s">
        <v>149</v>
      </c>
    </row>
    <row x14ac:dyDescent="0.25" r="17" customHeight="1" ht="17.25" customFormat="1" s="27">
      <c r="A17" s="28" t="s">
        <v>44</v>
      </c>
      <c r="B17" s="29" t="s">
        <v>150</v>
      </c>
      <c r="C17" s="20" t="s">
        <v>46</v>
      </c>
      <c r="D17" s="20" t="s">
        <v>46</v>
      </c>
      <c r="E17" s="20" t="s">
        <v>46</v>
      </c>
      <c r="F17" s="20" t="s">
        <v>47</v>
      </c>
      <c r="G17" s="20" t="s">
        <v>46</v>
      </c>
    </row>
    <row x14ac:dyDescent="0.25" r="18" customHeight="1" ht="17.25" customFormat="1" s="27">
      <c r="A18" s="29"/>
      <c r="B18" s="29" t="s">
        <v>151</v>
      </c>
      <c r="C18" s="20" t="s">
        <v>46</v>
      </c>
      <c r="D18" s="20" t="s">
        <v>46</v>
      </c>
      <c r="E18" s="20" t="s">
        <v>46</v>
      </c>
      <c r="F18" s="20" t="s">
        <v>46</v>
      </c>
      <c r="G18" s="20" t="s">
        <v>46</v>
      </c>
    </row>
    <row x14ac:dyDescent="0.25" r="19" customHeight="1" ht="17.25" customFormat="1" s="27">
      <c r="A19" s="29"/>
      <c r="B19" s="29" t="s">
        <v>152</v>
      </c>
      <c r="C19" s="20" t="s">
        <v>46</v>
      </c>
      <c r="D19" s="20" t="s">
        <v>46</v>
      </c>
      <c r="E19" s="20" t="s">
        <v>46</v>
      </c>
      <c r="F19" s="20" t="s">
        <v>46</v>
      </c>
      <c r="G19" s="20" t="s">
        <v>46</v>
      </c>
    </row>
    <row x14ac:dyDescent="0.25" r="20" customHeight="1" ht="17.25" customFormat="1" s="27">
      <c r="A20" s="29"/>
      <c r="B20" s="29" t="s">
        <v>153</v>
      </c>
      <c r="C20" s="20" t="s">
        <v>46</v>
      </c>
      <c r="D20" s="20" t="s">
        <v>46</v>
      </c>
      <c r="E20" s="20" t="s">
        <v>46</v>
      </c>
      <c r="F20" s="20" t="s">
        <v>46</v>
      </c>
      <c r="G20" s="20" t="s">
        <v>46</v>
      </c>
    </row>
    <row x14ac:dyDescent="0.25" r="21" customHeight="1" ht="17.25" customFormat="1" s="27">
      <c r="A21" s="29"/>
      <c r="B21" s="29" t="s">
        <v>154</v>
      </c>
      <c r="C21" s="20" t="s">
        <v>46</v>
      </c>
      <c r="D21" s="20" t="s">
        <v>46</v>
      </c>
      <c r="E21" s="20" t="s">
        <v>46</v>
      </c>
      <c r="F21" s="20" t="s">
        <v>46</v>
      </c>
      <c r="G21" s="20" t="s">
        <v>46</v>
      </c>
    </row>
    <row x14ac:dyDescent="0.25" r="22" customHeight="1" ht="17.25" customFormat="1" s="27">
      <c r="A22" s="29"/>
      <c r="B22" s="29" t="s">
        <v>155</v>
      </c>
      <c r="C22" s="20" t="s">
        <v>46</v>
      </c>
      <c r="D22" s="20" t="s">
        <v>46</v>
      </c>
      <c r="E22" s="20" t="s">
        <v>46</v>
      </c>
      <c r="F22" s="20" t="s">
        <v>46</v>
      </c>
      <c r="G22" s="20" t="s">
        <v>46</v>
      </c>
    </row>
    <row x14ac:dyDescent="0.25" r="23" customHeight="1" ht="17.25" customFormat="1" s="27">
      <c r="A23" s="29"/>
      <c r="B23" s="29" t="s">
        <v>156</v>
      </c>
      <c r="C23" s="20" t="s">
        <v>46</v>
      </c>
      <c r="D23" s="20" t="s">
        <v>46</v>
      </c>
      <c r="E23" s="20" t="s">
        <v>46</v>
      </c>
      <c r="F23" s="20" t="s">
        <v>46</v>
      </c>
      <c r="G23" s="20" t="s">
        <v>46</v>
      </c>
    </row>
    <row x14ac:dyDescent="0.25" r="24" customHeight="1" ht="17.25" customFormat="1" s="27">
      <c r="A24" s="29"/>
      <c r="B24" s="29" t="s">
        <v>157</v>
      </c>
      <c r="C24" s="20" t="s">
        <v>46</v>
      </c>
      <c r="D24" s="20" t="s">
        <v>46</v>
      </c>
      <c r="E24" s="20" t="s">
        <v>46</v>
      </c>
      <c r="F24" s="20" t="s">
        <v>46</v>
      </c>
      <c r="G24" s="20" t="s">
        <v>46</v>
      </c>
    </row>
    <row x14ac:dyDescent="0.25" r="25" customHeight="1" ht="17.25" customFormat="1" s="27">
      <c r="A25" s="29"/>
      <c r="B25" s="29" t="s">
        <v>158</v>
      </c>
      <c r="C25" s="20" t="s">
        <v>46</v>
      </c>
      <c r="D25" s="20" t="s">
        <v>46</v>
      </c>
      <c r="E25" s="20" t="s">
        <v>46</v>
      </c>
      <c r="F25" s="20" t="s">
        <v>46</v>
      </c>
      <c r="G25" s="20" t="s">
        <v>46</v>
      </c>
    </row>
    <row x14ac:dyDescent="0.25" r="26" customHeight="1" ht="17.25" customFormat="1" s="27">
      <c r="A26" s="29"/>
      <c r="B26" s="29" t="s">
        <v>159</v>
      </c>
      <c r="C26" s="20" t="s">
        <v>46</v>
      </c>
      <c r="D26" s="20" t="s">
        <v>46</v>
      </c>
      <c r="E26" s="20" t="s">
        <v>46</v>
      </c>
      <c r="F26" s="20" t="s">
        <v>46</v>
      </c>
      <c r="G26" s="20" t="s">
        <v>46</v>
      </c>
    </row>
    <row x14ac:dyDescent="0.25" r="27" customHeight="1" ht="17.25" customFormat="1" s="27">
      <c r="A27" s="29"/>
      <c r="B27" s="29" t="s">
        <v>160</v>
      </c>
      <c r="C27" s="20" t="s">
        <v>46</v>
      </c>
      <c r="D27" s="20" t="s">
        <v>46</v>
      </c>
      <c r="E27" s="20" t="s">
        <v>46</v>
      </c>
      <c r="F27" s="20" t="s">
        <v>46</v>
      </c>
      <c r="G27" s="20" t="s">
        <v>46</v>
      </c>
    </row>
    <row x14ac:dyDescent="0.25" r="28" customHeight="1" ht="17.25" customFormat="1" s="27">
      <c r="A28" s="29"/>
      <c r="B28" s="29" t="s">
        <v>161</v>
      </c>
      <c r="C28" s="20" t="s">
        <v>46</v>
      </c>
      <c r="D28" s="20" t="s">
        <v>46</v>
      </c>
      <c r="E28" s="20" t="s">
        <v>46</v>
      </c>
      <c r="F28" s="20" t="s">
        <v>46</v>
      </c>
      <c r="G28" s="20" t="s">
        <v>46</v>
      </c>
    </row>
    <row x14ac:dyDescent="0.25" r="29" customHeight="1" ht="17.25" customFormat="1" s="27">
      <c r="A29" s="29"/>
      <c r="B29" s="29" t="s">
        <v>162</v>
      </c>
      <c r="C29" s="20" t="s">
        <v>46</v>
      </c>
      <c r="D29" s="20" t="s">
        <v>46</v>
      </c>
      <c r="E29" s="20" t="s">
        <v>46</v>
      </c>
      <c r="F29" s="20" t="s">
        <v>46</v>
      </c>
      <c r="G29" s="20" t="s">
        <v>46</v>
      </c>
    </row>
    <row x14ac:dyDescent="0.25" r="30" customHeight="1" ht="17.25" customFormat="1" s="27">
      <c r="A30" s="29"/>
      <c r="B30" s="29" t="s">
        <v>163</v>
      </c>
      <c r="C30" s="20" t="s">
        <v>46</v>
      </c>
      <c r="D30" s="20" t="s">
        <v>46</v>
      </c>
      <c r="E30" s="20" t="s">
        <v>46</v>
      </c>
      <c r="F30" s="20" t="s">
        <v>46</v>
      </c>
      <c r="G30" s="20" t="s">
        <v>46</v>
      </c>
    </row>
    <row x14ac:dyDescent="0.25" r="31" customHeight="1" ht="17.25" customFormat="1" s="27">
      <c r="A31" s="29"/>
      <c r="B31" s="29" t="s">
        <v>164</v>
      </c>
      <c r="C31" s="20" t="s">
        <v>46</v>
      </c>
      <c r="D31" s="20" t="s">
        <v>46</v>
      </c>
      <c r="E31" s="20" t="s">
        <v>46</v>
      </c>
      <c r="F31" s="20" t="s">
        <v>46</v>
      </c>
      <c r="G31" s="20" t="s">
        <v>46</v>
      </c>
    </row>
    <row x14ac:dyDescent="0.25" r="32" customHeight="1" ht="17.25" customFormat="1" s="27">
      <c r="A32" s="29"/>
      <c r="B32" s="29" t="s">
        <v>165</v>
      </c>
      <c r="C32" s="20" t="s">
        <v>46</v>
      </c>
      <c r="D32" s="20" t="s">
        <v>46</v>
      </c>
      <c r="E32" s="20" t="s">
        <v>46</v>
      </c>
      <c r="F32" s="20" t="s">
        <v>46</v>
      </c>
      <c r="G32" s="20" t="s">
        <v>46</v>
      </c>
    </row>
    <row x14ac:dyDescent="0.25" r="33" customHeight="1" ht="17.25" customFormat="1" s="27">
      <c r="A33" s="29"/>
      <c r="B33" s="29" t="s">
        <v>166</v>
      </c>
      <c r="C33" s="20" t="s">
        <v>46</v>
      </c>
      <c r="D33" s="20" t="s">
        <v>46</v>
      </c>
      <c r="E33" s="20" t="s">
        <v>46</v>
      </c>
      <c r="F33" s="20" t="s">
        <v>46</v>
      </c>
      <c r="G33" s="20" t="s">
        <v>46</v>
      </c>
    </row>
    <row x14ac:dyDescent="0.25" r="34" customHeight="1" ht="17.25">
      <c r="A34" s="30" t="s">
        <v>64</v>
      </c>
      <c r="B34" s="31" t="s">
        <v>65</v>
      </c>
      <c r="C34" s="20" t="s">
        <v>46</v>
      </c>
      <c r="D34" s="20" t="s">
        <v>46</v>
      </c>
      <c r="E34" s="20" t="s">
        <v>46</v>
      </c>
      <c r="F34" s="20" t="s">
        <v>46</v>
      </c>
      <c r="G34" s="20" t="s">
        <v>46</v>
      </c>
    </row>
    <row x14ac:dyDescent="0.25" r="35" customHeight="1" ht="17.25">
      <c r="A35" s="32"/>
      <c r="B35" s="33" t="s">
        <v>66</v>
      </c>
      <c r="C35" s="20" t="s">
        <v>46</v>
      </c>
      <c r="D35" s="20" t="s">
        <v>46</v>
      </c>
      <c r="E35" s="20" t="s">
        <v>46</v>
      </c>
      <c r="F35" s="20" t="s">
        <v>46</v>
      </c>
      <c r="G35" s="20" t="s">
        <v>46</v>
      </c>
    </row>
    <row x14ac:dyDescent="0.25" r="36" customHeight="1" ht="17.25">
      <c r="A36" s="32"/>
      <c r="B36" s="33" t="s">
        <v>67</v>
      </c>
      <c r="C36" s="20" t="s">
        <v>46</v>
      </c>
      <c r="D36" s="20" t="s">
        <v>46</v>
      </c>
      <c r="E36" s="20" t="s">
        <v>46</v>
      </c>
      <c r="F36" s="20" t="s">
        <v>46</v>
      </c>
      <c r="G36" s="20" t="s">
        <v>46</v>
      </c>
    </row>
    <row x14ac:dyDescent="0.25" r="37" customHeight="1" ht="17.25">
      <c r="A37" s="32"/>
      <c r="B37" s="33" t="s">
        <v>68</v>
      </c>
      <c r="C37" s="20" t="s">
        <v>46</v>
      </c>
      <c r="D37" s="20" t="s">
        <v>46</v>
      </c>
      <c r="E37" s="20" t="s">
        <v>46</v>
      </c>
      <c r="F37" s="20" t="s">
        <v>46</v>
      </c>
      <c r="G37" s="20" t="s">
        <v>46</v>
      </c>
    </row>
    <row x14ac:dyDescent="0.25" r="38" customHeight="1" ht="17.25">
      <c r="A38" s="32"/>
      <c r="B38" s="33" t="s">
        <v>69</v>
      </c>
      <c r="C38" s="20" t="s">
        <v>46</v>
      </c>
      <c r="D38" s="20" t="s">
        <v>46</v>
      </c>
      <c r="E38" s="20" t="s">
        <v>46</v>
      </c>
      <c r="F38" s="20" t="s">
        <v>46</v>
      </c>
      <c r="G38" s="20" t="s">
        <v>46</v>
      </c>
    </row>
    <row x14ac:dyDescent="0.25" r="39" customHeight="1" ht="17.25">
      <c r="A39" s="32"/>
      <c r="B39" s="33" t="s">
        <v>70</v>
      </c>
      <c r="C39" s="20" t="s">
        <v>46</v>
      </c>
      <c r="D39" s="20" t="s">
        <v>46</v>
      </c>
      <c r="E39" s="20" t="s">
        <v>46</v>
      </c>
      <c r="F39" s="20" t="s">
        <v>46</v>
      </c>
      <c r="G39" s="20" t="s">
        <v>46</v>
      </c>
    </row>
    <row x14ac:dyDescent="0.25" r="40" customHeight="1" ht="17.25">
      <c r="A40" s="32"/>
      <c r="B40" s="33" t="s">
        <v>71</v>
      </c>
      <c r="C40" s="20" t="s">
        <v>46</v>
      </c>
      <c r="D40" s="20" t="s">
        <v>46</v>
      </c>
      <c r="E40" s="20" t="s">
        <v>46</v>
      </c>
      <c r="F40" s="20" t="s">
        <v>46</v>
      </c>
      <c r="G40" s="20" t="s">
        <v>46</v>
      </c>
    </row>
    <row x14ac:dyDescent="0.25" r="41" customHeight="1" ht="17.25">
      <c r="A41" s="32"/>
      <c r="B41" s="33" t="s">
        <v>72</v>
      </c>
      <c r="C41" s="20" t="s">
        <v>46</v>
      </c>
      <c r="D41" s="20" t="s">
        <v>46</v>
      </c>
      <c r="E41" s="20" t="s">
        <v>46</v>
      </c>
      <c r="F41" s="20" t="s">
        <v>46</v>
      </c>
      <c r="G41" s="20" t="s">
        <v>46</v>
      </c>
    </row>
    <row x14ac:dyDescent="0.25" r="42" customHeight="1" ht="17.25">
      <c r="A42" s="34" t="s">
        <v>73</v>
      </c>
      <c r="B42" s="35"/>
      <c r="C42" s="36">
        <f>COUNTIF(C17:C41,"○")/25*100</f>
      </c>
      <c r="D42" s="36">
        <f>COUNTIF(D17:D41,"○")/25*100</f>
      </c>
      <c r="E42" s="36">
        <f>COUNTIF(E17:E41,"○")/25*100</f>
      </c>
      <c r="F42" s="36">
        <f>COUNTIF(F17:F41,"○")/25*100</f>
      </c>
      <c r="G42" s="36">
        <f>COUNTIF(G17:G41,"○")/25*100</f>
      </c>
    </row>
    <row x14ac:dyDescent="0.25" r="43" customHeight="1" ht="115.95">
      <c r="A43" s="34" t="s">
        <v>74</v>
      </c>
      <c r="B43" s="35"/>
      <c r="C43" s="23"/>
      <c r="D43" s="23"/>
      <c r="E43" s="23"/>
      <c r="F43" s="23"/>
      <c r="G43" s="20"/>
    </row>
    <row x14ac:dyDescent="0.25" r="44" customHeight="1" ht="17.25">
      <c r="A44" s="37" t="s">
        <v>75</v>
      </c>
      <c r="B44" s="38" t="s">
        <v>76</v>
      </c>
      <c r="C44" s="39">
        <f>LEN(C15)</f>
      </c>
      <c r="D44" s="40">
        <f>LEN(D15)</f>
      </c>
      <c r="E44" s="39">
        <f>LEN(E15)</f>
      </c>
      <c r="F44" s="40">
        <f>LEN(F15)</f>
      </c>
      <c r="G44" s="39">
        <f>LEN(G15)</f>
      </c>
    </row>
    <row x14ac:dyDescent="0.25" r="45" customHeight="1" ht="17.25">
      <c r="A45" s="41"/>
      <c r="B45" s="38" t="s">
        <v>77</v>
      </c>
      <c r="C45" s="39">
        <f>LEN(C16)</f>
      </c>
      <c r="D45" s="40">
        <f>LEN(D16)</f>
      </c>
      <c r="E45" s="39">
        <f>LEN(E16)</f>
      </c>
      <c r="F45" s="40">
        <f>LEN(F16)</f>
      </c>
      <c r="G45" s="39">
        <f>LEN(G16)</f>
      </c>
    </row>
    <row x14ac:dyDescent="0.25" r="46" customHeight="1" ht="17.25">
      <c r="A46" s="4"/>
      <c r="B46" s="42"/>
      <c r="C46" s="3"/>
      <c r="D46" s="43"/>
      <c r="E46" s="3"/>
      <c r="F46" s="43"/>
      <c r="G46" s="3"/>
    </row>
    <row x14ac:dyDescent="0.25" r="47" customHeight="1" ht="17.25">
      <c r="A47" s="6" t="s">
        <v>78</v>
      </c>
      <c r="B47" s="5"/>
      <c r="C47" s="3"/>
      <c r="D47" s="3"/>
      <c r="E47" s="3"/>
      <c r="F47" s="3"/>
      <c r="G47" s="3"/>
    </row>
    <row x14ac:dyDescent="0.25" r="48" customHeight="1" ht="17.25">
      <c r="A48" s="19" t="s">
        <v>7</v>
      </c>
      <c r="B48" s="19"/>
      <c r="C48" s="44" t="s">
        <v>79</v>
      </c>
      <c r="D48" s="44" t="s">
        <v>80</v>
      </c>
      <c r="E48" s="44" t="s">
        <v>81</v>
      </c>
      <c r="F48" s="44" t="s">
        <v>82</v>
      </c>
      <c r="G48" s="44" t="s">
        <v>83</v>
      </c>
    </row>
    <row x14ac:dyDescent="0.25" r="49" customHeight="1" ht="386.7">
      <c r="A49" s="22" t="s">
        <v>13</v>
      </c>
      <c r="B49" s="19" t="s">
        <v>14</v>
      </c>
      <c r="C49" s="20" t="s">
        <v>84</v>
      </c>
      <c r="D49" s="20" t="s">
        <v>85</v>
      </c>
      <c r="E49" s="20" t="s">
        <v>86</v>
      </c>
      <c r="F49" s="20" t="s">
        <v>87</v>
      </c>
      <c r="G49" s="20" t="s">
        <v>88</v>
      </c>
    </row>
    <row x14ac:dyDescent="0.25" r="50" customHeight="1" ht="225.6">
      <c r="A50" s="19"/>
      <c r="B50" s="19" t="s">
        <v>20</v>
      </c>
      <c r="C50" s="20" t="s">
        <v>167</v>
      </c>
      <c r="D50" s="20" t="s">
        <v>168</v>
      </c>
      <c r="E50" s="20" t="s">
        <v>169</v>
      </c>
      <c r="F50" s="20" t="s">
        <v>170</v>
      </c>
      <c r="G50" s="20" t="s">
        <v>171</v>
      </c>
    </row>
    <row x14ac:dyDescent="0.25" r="51" customHeight="1" ht="238.19999999999996">
      <c r="A51" s="7" t="s">
        <v>26</v>
      </c>
      <c r="B51" s="8"/>
      <c r="C51" s="23" t="s">
        <v>94</v>
      </c>
      <c r="D51" s="23" t="s">
        <v>95</v>
      </c>
      <c r="E51" s="23" t="s">
        <v>96</v>
      </c>
      <c r="F51" s="23" t="s">
        <v>97</v>
      </c>
      <c r="G51" s="23" t="s">
        <v>98</v>
      </c>
    </row>
    <row x14ac:dyDescent="0.25" r="52" customHeight="1" ht="255">
      <c r="A52" s="7" t="s">
        <v>32</v>
      </c>
      <c r="B52" s="8"/>
      <c r="C52" s="24" t="s">
        <v>172</v>
      </c>
      <c r="D52" s="24" t="s">
        <v>173</v>
      </c>
      <c r="E52" s="24" t="s">
        <v>174</v>
      </c>
      <c r="F52" s="24" t="s">
        <v>175</v>
      </c>
      <c r="G52" s="24" t="s">
        <v>176</v>
      </c>
    </row>
    <row x14ac:dyDescent="0.25" r="53" customHeight="1" ht="253.19999999999996">
      <c r="A53" s="25" t="s">
        <v>38</v>
      </c>
      <c r="B53" s="11"/>
      <c r="C53" s="26" t="s">
        <v>177</v>
      </c>
      <c r="D53" s="24" t="s">
        <v>178</v>
      </c>
      <c r="E53" s="24" t="s">
        <v>179</v>
      </c>
      <c r="F53" s="24" t="s">
        <v>180</v>
      </c>
      <c r="G53" s="26" t="s">
        <v>181</v>
      </c>
    </row>
    <row x14ac:dyDescent="0.25" r="54" customHeight="1" ht="17.25">
      <c r="A54" s="45" t="s">
        <v>44</v>
      </c>
      <c r="B54" s="29" t="s">
        <v>150</v>
      </c>
      <c r="C54" s="46" t="s">
        <v>46</v>
      </c>
      <c r="D54" s="46" t="s">
        <v>46</v>
      </c>
      <c r="E54" s="46" t="s">
        <v>46</v>
      </c>
      <c r="F54" s="46" t="s">
        <v>47</v>
      </c>
      <c r="G54" s="46" t="s">
        <v>46</v>
      </c>
    </row>
    <row x14ac:dyDescent="0.25" r="55" customHeight="1" ht="17.25">
      <c r="A55" s="47"/>
      <c r="B55" s="29" t="s">
        <v>151</v>
      </c>
      <c r="C55" s="46" t="s">
        <v>46</v>
      </c>
      <c r="D55" s="46" t="s">
        <v>46</v>
      </c>
      <c r="E55" s="46" t="s">
        <v>46</v>
      </c>
      <c r="F55" s="46" t="s">
        <v>46</v>
      </c>
      <c r="G55" s="46" t="s">
        <v>46</v>
      </c>
    </row>
    <row x14ac:dyDescent="0.25" r="56" customHeight="1" ht="17.25">
      <c r="A56" s="47"/>
      <c r="B56" s="29" t="s">
        <v>152</v>
      </c>
      <c r="C56" s="46" t="s">
        <v>46</v>
      </c>
      <c r="D56" s="46" t="s">
        <v>46</v>
      </c>
      <c r="E56" s="46" t="s">
        <v>46</v>
      </c>
      <c r="F56" s="46" t="s">
        <v>46</v>
      </c>
      <c r="G56" s="46" t="s">
        <v>46</v>
      </c>
    </row>
    <row x14ac:dyDescent="0.25" r="57" customHeight="1" ht="17.25">
      <c r="A57" s="47"/>
      <c r="B57" s="29" t="s">
        <v>153</v>
      </c>
      <c r="C57" s="46" t="s">
        <v>46</v>
      </c>
      <c r="D57" s="46" t="s">
        <v>46</v>
      </c>
      <c r="E57" s="46" t="s">
        <v>46</v>
      </c>
      <c r="F57" s="46" t="s">
        <v>46</v>
      </c>
      <c r="G57" s="46" t="s">
        <v>46</v>
      </c>
    </row>
    <row x14ac:dyDescent="0.25" r="58" customHeight="1" ht="17.25">
      <c r="A58" s="47"/>
      <c r="B58" s="29" t="s">
        <v>154</v>
      </c>
      <c r="C58" s="46" t="s">
        <v>46</v>
      </c>
      <c r="D58" s="46" t="s">
        <v>46</v>
      </c>
      <c r="E58" s="46" t="s">
        <v>46</v>
      </c>
      <c r="F58" s="46" t="s">
        <v>46</v>
      </c>
      <c r="G58" s="46" t="s">
        <v>46</v>
      </c>
    </row>
    <row x14ac:dyDescent="0.25" r="59" customHeight="1" ht="17.25">
      <c r="A59" s="47"/>
      <c r="B59" s="29" t="s">
        <v>155</v>
      </c>
      <c r="C59" s="46" t="s">
        <v>46</v>
      </c>
      <c r="D59" s="46" t="s">
        <v>46</v>
      </c>
      <c r="E59" s="46" t="s">
        <v>46</v>
      </c>
      <c r="F59" s="46" t="s">
        <v>46</v>
      </c>
      <c r="G59" s="46" t="s">
        <v>46</v>
      </c>
    </row>
    <row x14ac:dyDescent="0.25" r="60" customHeight="1" ht="17.25">
      <c r="A60" s="47"/>
      <c r="B60" s="29" t="s">
        <v>156</v>
      </c>
      <c r="C60" s="46" t="s">
        <v>46</v>
      </c>
      <c r="D60" s="46" t="s">
        <v>46</v>
      </c>
      <c r="E60" s="46" t="s">
        <v>46</v>
      </c>
      <c r="F60" s="46" t="s">
        <v>46</v>
      </c>
      <c r="G60" s="46" t="s">
        <v>46</v>
      </c>
    </row>
    <row x14ac:dyDescent="0.25" r="61" customHeight="1" ht="17.25">
      <c r="A61" s="47"/>
      <c r="B61" s="29" t="s">
        <v>157</v>
      </c>
      <c r="C61" s="46" t="s">
        <v>46</v>
      </c>
      <c r="D61" s="46" t="s">
        <v>46</v>
      </c>
      <c r="E61" s="46" t="s">
        <v>46</v>
      </c>
      <c r="F61" s="46" t="s">
        <v>46</v>
      </c>
      <c r="G61" s="46" t="s">
        <v>46</v>
      </c>
    </row>
    <row x14ac:dyDescent="0.25" r="62" customHeight="1" ht="17.25">
      <c r="A62" s="47"/>
      <c r="B62" s="29" t="s">
        <v>158</v>
      </c>
      <c r="C62" s="46" t="s">
        <v>46</v>
      </c>
      <c r="D62" s="46" t="s">
        <v>46</v>
      </c>
      <c r="E62" s="46" t="s">
        <v>46</v>
      </c>
      <c r="F62" s="46" t="s">
        <v>46</v>
      </c>
      <c r="G62" s="46" t="s">
        <v>46</v>
      </c>
    </row>
    <row x14ac:dyDescent="0.25" r="63" customHeight="1" ht="17.25">
      <c r="A63" s="47"/>
      <c r="B63" s="29" t="s">
        <v>159</v>
      </c>
      <c r="C63" s="46" t="s">
        <v>46</v>
      </c>
      <c r="D63" s="46" t="s">
        <v>46</v>
      </c>
      <c r="E63" s="46" t="s">
        <v>46</v>
      </c>
      <c r="F63" s="46" t="s">
        <v>46</v>
      </c>
      <c r="G63" s="46" t="s">
        <v>46</v>
      </c>
    </row>
    <row x14ac:dyDescent="0.25" r="64" customHeight="1" ht="17.25">
      <c r="A64" s="47"/>
      <c r="B64" s="29" t="s">
        <v>160</v>
      </c>
      <c r="C64" s="46" t="s">
        <v>46</v>
      </c>
      <c r="D64" s="46" t="s">
        <v>46</v>
      </c>
      <c r="E64" s="46" t="s">
        <v>46</v>
      </c>
      <c r="F64" s="46" t="s">
        <v>46</v>
      </c>
      <c r="G64" s="46" t="s">
        <v>46</v>
      </c>
    </row>
    <row x14ac:dyDescent="0.25" r="65" customHeight="1" ht="17.25">
      <c r="A65" s="47"/>
      <c r="B65" s="29" t="s">
        <v>161</v>
      </c>
      <c r="C65" s="46" t="s">
        <v>46</v>
      </c>
      <c r="D65" s="46" t="s">
        <v>46</v>
      </c>
      <c r="E65" s="46" t="s">
        <v>46</v>
      </c>
      <c r="F65" s="46" t="s">
        <v>46</v>
      </c>
      <c r="G65" s="46" t="s">
        <v>46</v>
      </c>
    </row>
    <row x14ac:dyDescent="0.25" r="66" customHeight="1" ht="17.25">
      <c r="A66" s="47"/>
      <c r="B66" s="29" t="s">
        <v>162</v>
      </c>
      <c r="C66" s="46" t="s">
        <v>46</v>
      </c>
      <c r="D66" s="46" t="s">
        <v>46</v>
      </c>
      <c r="E66" s="46" t="s">
        <v>46</v>
      </c>
      <c r="F66" s="46" t="s">
        <v>46</v>
      </c>
      <c r="G66" s="46" t="s">
        <v>46</v>
      </c>
    </row>
    <row x14ac:dyDescent="0.25" r="67" customHeight="1" ht="17.25">
      <c r="A67" s="47"/>
      <c r="B67" s="29" t="s">
        <v>163</v>
      </c>
      <c r="C67" s="46" t="s">
        <v>46</v>
      </c>
      <c r="D67" s="46" t="s">
        <v>46</v>
      </c>
      <c r="E67" s="46" t="s">
        <v>46</v>
      </c>
      <c r="F67" s="46" t="s">
        <v>46</v>
      </c>
      <c r="G67" s="46" t="s">
        <v>46</v>
      </c>
    </row>
    <row x14ac:dyDescent="0.25" r="68" customHeight="1" ht="17.25">
      <c r="A68" s="47"/>
      <c r="B68" s="29" t="s">
        <v>164</v>
      </c>
      <c r="C68" s="46" t="s">
        <v>46</v>
      </c>
      <c r="D68" s="46" t="s">
        <v>46</v>
      </c>
      <c r="E68" s="46" t="s">
        <v>46</v>
      </c>
      <c r="F68" s="46" t="s">
        <v>46</v>
      </c>
      <c r="G68" s="46" t="s">
        <v>46</v>
      </c>
    </row>
    <row x14ac:dyDescent="0.25" r="69" customHeight="1" ht="17.25">
      <c r="A69" s="47"/>
      <c r="B69" s="29" t="s">
        <v>165</v>
      </c>
      <c r="C69" s="46" t="s">
        <v>46</v>
      </c>
      <c r="D69" s="46" t="s">
        <v>46</v>
      </c>
      <c r="E69" s="46" t="s">
        <v>46</v>
      </c>
      <c r="F69" s="46" t="s">
        <v>46</v>
      </c>
      <c r="G69" s="46" t="s">
        <v>46</v>
      </c>
    </row>
    <row x14ac:dyDescent="0.25" r="70" customHeight="1" ht="17.25">
      <c r="A70" s="47"/>
      <c r="B70" s="29" t="s">
        <v>166</v>
      </c>
      <c r="C70" s="46" t="s">
        <v>46</v>
      </c>
      <c r="D70" s="46" t="s">
        <v>46</v>
      </c>
      <c r="E70" s="46" t="s">
        <v>46</v>
      </c>
      <c r="F70" s="46" t="s">
        <v>46</v>
      </c>
      <c r="G70" s="46" t="s">
        <v>46</v>
      </c>
    </row>
    <row x14ac:dyDescent="0.25" r="71" customHeight="1" ht="17.25">
      <c r="A71" s="30" t="s">
        <v>64</v>
      </c>
      <c r="B71" s="31" t="s">
        <v>65</v>
      </c>
      <c r="C71" s="51" t="s">
        <v>46</v>
      </c>
      <c r="D71" s="51" t="s">
        <v>46</v>
      </c>
      <c r="E71" s="51" t="s">
        <v>46</v>
      </c>
      <c r="F71" s="51" t="s">
        <v>46</v>
      </c>
      <c r="G71" s="51" t="s">
        <v>46</v>
      </c>
    </row>
    <row x14ac:dyDescent="0.25" r="72" customHeight="1" ht="17.25">
      <c r="A72" s="32"/>
      <c r="B72" s="33" t="s">
        <v>66</v>
      </c>
      <c r="C72" s="51" t="s">
        <v>46</v>
      </c>
      <c r="D72" s="51" t="s">
        <v>46</v>
      </c>
      <c r="E72" s="51" t="s">
        <v>46</v>
      </c>
      <c r="F72" s="51" t="s">
        <v>46</v>
      </c>
      <c r="G72" s="51" t="s">
        <v>46</v>
      </c>
    </row>
    <row x14ac:dyDescent="0.25" r="73" customHeight="1" ht="17.25">
      <c r="A73" s="32"/>
      <c r="B73" s="33" t="s">
        <v>67</v>
      </c>
      <c r="C73" s="51" t="s">
        <v>46</v>
      </c>
      <c r="D73" s="51" t="s">
        <v>46</v>
      </c>
      <c r="E73" s="51" t="s">
        <v>46</v>
      </c>
      <c r="F73" s="51" t="s">
        <v>46</v>
      </c>
      <c r="G73" s="51" t="s">
        <v>46</v>
      </c>
    </row>
    <row x14ac:dyDescent="0.25" r="74" customHeight="1" ht="17.25">
      <c r="A74" s="32"/>
      <c r="B74" s="33" t="s">
        <v>68</v>
      </c>
      <c r="C74" s="51" t="s">
        <v>46</v>
      </c>
      <c r="D74" s="51" t="s">
        <v>46</v>
      </c>
      <c r="E74" s="51" t="s">
        <v>46</v>
      </c>
      <c r="F74" s="51" t="s">
        <v>46</v>
      </c>
      <c r="G74" s="51" t="s">
        <v>46</v>
      </c>
    </row>
    <row x14ac:dyDescent="0.25" r="75" customHeight="1" ht="17.25">
      <c r="A75" s="32"/>
      <c r="B75" s="33" t="s">
        <v>69</v>
      </c>
      <c r="C75" s="51" t="s">
        <v>46</v>
      </c>
      <c r="D75" s="51" t="s">
        <v>46</v>
      </c>
      <c r="E75" s="51" t="s">
        <v>46</v>
      </c>
      <c r="F75" s="51" t="s">
        <v>46</v>
      </c>
      <c r="G75" s="51" t="s">
        <v>46</v>
      </c>
    </row>
    <row x14ac:dyDescent="0.25" r="76" customHeight="1" ht="17.25">
      <c r="A76" s="32"/>
      <c r="B76" s="33" t="s">
        <v>70</v>
      </c>
      <c r="C76" s="51" t="s">
        <v>46</v>
      </c>
      <c r="D76" s="51" t="s">
        <v>46</v>
      </c>
      <c r="E76" s="51" t="s">
        <v>46</v>
      </c>
      <c r="F76" s="51" t="s">
        <v>46</v>
      </c>
      <c r="G76" s="51" t="s">
        <v>46</v>
      </c>
    </row>
    <row x14ac:dyDescent="0.25" r="77" customHeight="1" ht="17.25">
      <c r="A77" s="32"/>
      <c r="B77" s="33" t="s">
        <v>71</v>
      </c>
      <c r="C77" s="51" t="s">
        <v>46</v>
      </c>
      <c r="D77" s="51" t="s">
        <v>46</v>
      </c>
      <c r="E77" s="51" t="s">
        <v>46</v>
      </c>
      <c r="F77" s="51" t="s">
        <v>46</v>
      </c>
      <c r="G77" s="51" t="s">
        <v>46</v>
      </c>
    </row>
    <row x14ac:dyDescent="0.25" r="78" customHeight="1" ht="17.25">
      <c r="A78" s="32"/>
      <c r="B78" s="33" t="s">
        <v>72</v>
      </c>
      <c r="C78" s="51" t="s">
        <v>46</v>
      </c>
      <c r="D78" s="51" t="s">
        <v>46</v>
      </c>
      <c r="E78" s="51" t="s">
        <v>46</v>
      </c>
      <c r="F78" s="51" t="s">
        <v>46</v>
      </c>
      <c r="G78" s="51" t="s">
        <v>46</v>
      </c>
    </row>
    <row x14ac:dyDescent="0.25" r="79" customHeight="1" ht="17.25">
      <c r="A79" s="34" t="s">
        <v>73</v>
      </c>
      <c r="B79" s="35"/>
      <c r="C79" s="36">
        <f>COUNTIF(C54:C78,"○")/25*100</f>
      </c>
      <c r="D79" s="36">
        <f>COUNTIF(D54:D78,"○")/25*100</f>
      </c>
      <c r="E79" s="36">
        <f>COUNTIF(E54:E78,"○")/25*100</f>
      </c>
      <c r="F79" s="36">
        <f>COUNTIF(F54:F78,"○")/25*100</f>
      </c>
      <c r="G79" s="36">
        <f>COUNTIF(G54:G78,"○")/25*100</f>
      </c>
    </row>
    <row x14ac:dyDescent="0.25" r="80" customHeight="1" ht="115.95">
      <c r="A80" s="34" t="s">
        <v>74</v>
      </c>
      <c r="B80" s="35"/>
      <c r="C80" s="23"/>
      <c r="D80" s="23"/>
      <c r="E80" s="23"/>
      <c r="F80" s="23"/>
      <c r="G80" s="20"/>
    </row>
    <row x14ac:dyDescent="0.25" r="81" customHeight="1" ht="17.25">
      <c r="A81" s="37" t="s">
        <v>75</v>
      </c>
      <c r="B81" s="38" t="s">
        <v>76</v>
      </c>
      <c r="C81" s="40">
        <f>LEN(C52)</f>
      </c>
      <c r="D81" s="40">
        <f>LEN(D52)</f>
      </c>
      <c r="E81" s="40">
        <f>LEN(E52)</f>
      </c>
      <c r="F81" s="40">
        <f>LEN(F52)</f>
      </c>
      <c r="G81" s="40">
        <f>LEN(G52)</f>
      </c>
    </row>
    <row x14ac:dyDescent="0.25" r="82" customHeight="1" ht="17.25">
      <c r="A82" s="41"/>
      <c r="B82" s="38" t="s">
        <v>77</v>
      </c>
      <c r="C82" s="40">
        <f>LEN(C53)</f>
      </c>
      <c r="D82" s="40">
        <f>LEN(D53)</f>
      </c>
      <c r="E82" s="40">
        <f>LEN(E53)</f>
      </c>
      <c r="F82" s="40">
        <f>LEN(F53)</f>
      </c>
      <c r="G82" s="40">
        <f>LEN(G53)</f>
      </c>
    </row>
  </sheetData>
  <mergeCells count="23">
    <mergeCell ref="A4:B4"/>
    <mergeCell ref="A5:B7"/>
    <mergeCell ref="C5:C7"/>
    <mergeCell ref="A11:B11"/>
    <mergeCell ref="A12:A13"/>
    <mergeCell ref="A14:B14"/>
    <mergeCell ref="A15:B15"/>
    <mergeCell ref="A16:B16"/>
    <mergeCell ref="A17:A33"/>
    <mergeCell ref="A34:A41"/>
    <mergeCell ref="A42:B42"/>
    <mergeCell ref="A43:B43"/>
    <mergeCell ref="A44:A45"/>
    <mergeCell ref="A48:B48"/>
    <mergeCell ref="A49:A50"/>
    <mergeCell ref="A51:B51"/>
    <mergeCell ref="A52:B52"/>
    <mergeCell ref="A53:B53"/>
    <mergeCell ref="A54:A70"/>
    <mergeCell ref="A71:A78"/>
    <mergeCell ref="A79:B79"/>
    <mergeCell ref="A80:B80"/>
    <mergeCell ref="A81:A8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80"/>
  <sheetViews>
    <sheetView workbookViewId="0"/>
  </sheetViews>
  <sheetFormatPr defaultRowHeight="15" x14ac:dyDescent="0.25"/>
  <cols>
    <col min="1" max="1" style="48" width="22.14785714285714" customWidth="1" bestFit="1"/>
    <col min="2" max="2" style="49" width="46.14785714285715" customWidth="1" bestFit="1"/>
    <col min="3" max="3" style="50" width="99.7192857142857" customWidth="1" bestFit="1"/>
    <col min="4" max="4" style="50" width="99.7192857142857" customWidth="1" bestFit="1"/>
    <col min="5" max="5" style="50" width="99.7192857142857" customWidth="1" bestFit="1"/>
    <col min="6" max="6" style="50" width="99.7192857142857" customWidth="1" bestFit="1"/>
    <col min="7" max="7" style="50" width="99.7192857142857" customWidth="1" bestFit="1"/>
  </cols>
  <sheetData>
    <row x14ac:dyDescent="0.25" r="1" customHeight="1" ht="17.25">
      <c r="A1" s="1" t="s">
        <v>109</v>
      </c>
      <c r="B1" s="1"/>
      <c r="C1" s="2"/>
      <c r="D1" s="3"/>
      <c r="E1" s="3"/>
      <c r="F1" s="3"/>
      <c r="G1" s="3"/>
    </row>
    <row x14ac:dyDescent="0.25" r="2" customHeight="1" ht="17.25">
      <c r="A2" s="4"/>
      <c r="B2" s="5"/>
      <c r="C2" s="3"/>
      <c r="D2" s="3"/>
      <c r="E2" s="3"/>
      <c r="F2" s="3"/>
      <c r="G2" s="3"/>
    </row>
    <row x14ac:dyDescent="0.25" r="3" customHeight="1" ht="17.25">
      <c r="A3" s="6" t="s">
        <v>1</v>
      </c>
      <c r="B3" s="5"/>
      <c r="C3" s="3"/>
      <c r="D3" s="3"/>
      <c r="E3" s="3"/>
      <c r="F3" s="3"/>
      <c r="G3" s="3"/>
    </row>
    <row x14ac:dyDescent="0.25" r="4" customHeight="1" ht="17.25">
      <c r="A4" s="7" t="s">
        <v>2</v>
      </c>
      <c r="B4" s="8"/>
      <c r="C4" s="9" t="s">
        <v>110</v>
      </c>
      <c r="D4" s="3"/>
      <c r="E4" s="3"/>
      <c r="F4" s="3"/>
      <c r="G4" s="3"/>
    </row>
    <row x14ac:dyDescent="0.25" r="5" customHeight="1" ht="409.2">
      <c r="A5" s="10" t="s">
        <v>4</v>
      </c>
      <c r="B5" s="11"/>
      <c r="C5" s="12" t="s">
        <v>111</v>
      </c>
      <c r="D5" s="3"/>
      <c r="E5" s="3"/>
      <c r="F5" s="3"/>
      <c r="G5" s="3"/>
    </row>
    <row x14ac:dyDescent="0.25" r="6" customHeight="1" ht="288">
      <c r="A6" s="13"/>
      <c r="B6" s="14"/>
      <c r="C6" s="15"/>
      <c r="D6" s="3"/>
      <c r="E6" s="3"/>
      <c r="F6" s="3"/>
      <c r="G6" s="3"/>
    </row>
    <row x14ac:dyDescent="0.25" r="7" customHeight="1" ht="363.6000000000001">
      <c r="A7" s="16"/>
      <c r="B7" s="17"/>
      <c r="C7" s="18"/>
      <c r="D7" s="3"/>
      <c r="E7" s="3"/>
      <c r="F7" s="3"/>
      <c r="G7" s="3"/>
    </row>
    <row x14ac:dyDescent="0.25" r="8" customHeight="1" ht="17.25">
      <c r="A8" s="4"/>
      <c r="B8" s="5"/>
      <c r="C8" s="3"/>
      <c r="D8" s="3"/>
      <c r="E8" s="3"/>
      <c r="F8" s="3"/>
      <c r="G8" s="3"/>
    </row>
    <row x14ac:dyDescent="0.25" r="9" customHeight="1" ht="17.25">
      <c r="A9" s="4"/>
      <c r="B9" s="5"/>
      <c r="C9" s="3"/>
      <c r="D9" s="3"/>
      <c r="E9" s="3"/>
      <c r="F9" s="3"/>
      <c r="G9" s="3"/>
    </row>
    <row x14ac:dyDescent="0.25" r="10" customHeight="1" ht="17.25">
      <c r="A10" s="6" t="s">
        <v>6</v>
      </c>
      <c r="B10" s="5"/>
      <c r="C10" s="3"/>
      <c r="D10" s="3"/>
      <c r="E10" s="3"/>
      <c r="F10" s="3"/>
      <c r="G10" s="3"/>
    </row>
    <row x14ac:dyDescent="0.25" r="11" customHeight="1" ht="17.25">
      <c r="A11" s="19" t="s">
        <v>7</v>
      </c>
      <c r="B11" s="19"/>
      <c r="C11" s="20" t="s">
        <v>8</v>
      </c>
      <c r="D11" s="21" t="s">
        <v>9</v>
      </c>
      <c r="E11" s="20" t="s">
        <v>10</v>
      </c>
      <c r="F11" s="21" t="s">
        <v>11</v>
      </c>
      <c r="G11" s="20" t="s">
        <v>12</v>
      </c>
    </row>
    <row x14ac:dyDescent="0.25" r="12" customHeight="1" ht="385.95">
      <c r="A12" s="22" t="s">
        <v>13</v>
      </c>
      <c r="B12" s="19" t="s">
        <v>14</v>
      </c>
      <c r="C12" s="20" t="s">
        <v>15</v>
      </c>
      <c r="D12" s="20" t="s">
        <v>16</v>
      </c>
      <c r="E12" s="20" t="s">
        <v>17</v>
      </c>
      <c r="F12" s="20" t="s">
        <v>18</v>
      </c>
      <c r="G12" s="20" t="s">
        <v>19</v>
      </c>
    </row>
    <row x14ac:dyDescent="0.25" r="13" customHeight="1" ht="227.69999999999996">
      <c r="A13" s="19"/>
      <c r="B13" s="19" t="s">
        <v>20</v>
      </c>
      <c r="C13" s="20" t="s">
        <v>21</v>
      </c>
      <c r="D13" s="20" t="s">
        <v>22</v>
      </c>
      <c r="E13" s="20" t="s">
        <v>23</v>
      </c>
      <c r="F13" s="20" t="s">
        <v>24</v>
      </c>
      <c r="G13" s="20" t="s">
        <v>25</v>
      </c>
    </row>
    <row x14ac:dyDescent="0.25" r="14" customHeight="1" ht="315">
      <c r="A14" s="7" t="s">
        <v>26</v>
      </c>
      <c r="B14" s="8"/>
      <c r="C14" s="23" t="s">
        <v>27</v>
      </c>
      <c r="D14" s="23" t="s">
        <v>28</v>
      </c>
      <c r="E14" s="23" t="s">
        <v>29</v>
      </c>
      <c r="F14" s="23" t="s">
        <v>30</v>
      </c>
      <c r="G14" s="23" t="s">
        <v>31</v>
      </c>
    </row>
    <row x14ac:dyDescent="0.25" r="15" customHeight="1" ht="289.2">
      <c r="A15" s="7" t="s">
        <v>32</v>
      </c>
      <c r="B15" s="8"/>
      <c r="C15" s="24" t="s">
        <v>112</v>
      </c>
      <c r="D15" s="24" t="s">
        <v>113</v>
      </c>
      <c r="E15" s="24" t="s">
        <v>114</v>
      </c>
      <c r="F15" s="24" t="s">
        <v>115</v>
      </c>
      <c r="G15" s="24" t="s">
        <v>116</v>
      </c>
    </row>
    <row x14ac:dyDescent="0.25" r="16" customHeight="1" ht="258.6">
      <c r="A16" s="25" t="s">
        <v>38</v>
      </c>
      <c r="B16" s="11"/>
      <c r="C16" s="26" t="s">
        <v>117</v>
      </c>
      <c r="D16" s="24" t="s">
        <v>118</v>
      </c>
      <c r="E16" s="24" t="s">
        <v>119</v>
      </c>
      <c r="F16" s="24" t="s">
        <v>120</v>
      </c>
      <c r="G16" s="26" t="s">
        <v>121</v>
      </c>
    </row>
    <row x14ac:dyDescent="0.25" r="17" customHeight="1" ht="17.25" customFormat="1" s="27">
      <c r="A17" s="28" t="s">
        <v>44</v>
      </c>
      <c r="B17" s="29" t="s">
        <v>45</v>
      </c>
      <c r="C17" s="20" t="s">
        <v>46</v>
      </c>
      <c r="D17" s="20" t="s">
        <v>46</v>
      </c>
      <c r="E17" s="20" t="s">
        <v>46</v>
      </c>
      <c r="F17" s="20" t="s">
        <v>46</v>
      </c>
      <c r="G17" s="20" t="s">
        <v>47</v>
      </c>
    </row>
    <row x14ac:dyDescent="0.25" r="18" customHeight="1" ht="17.25" customFormat="1" s="27">
      <c r="A18" s="29"/>
      <c r="B18" s="29" t="s">
        <v>48</v>
      </c>
      <c r="C18" s="20" t="s">
        <v>46</v>
      </c>
      <c r="D18" s="20" t="s">
        <v>46</v>
      </c>
      <c r="E18" s="20" t="s">
        <v>46</v>
      </c>
      <c r="F18" s="20" t="s">
        <v>46</v>
      </c>
      <c r="G18" s="20" t="s">
        <v>46</v>
      </c>
    </row>
    <row x14ac:dyDescent="0.25" r="19" customHeight="1" ht="17.25" customFormat="1" s="27">
      <c r="A19" s="29"/>
      <c r="B19" s="29" t="s">
        <v>49</v>
      </c>
      <c r="C19" s="20" t="s">
        <v>46</v>
      </c>
      <c r="D19" s="20" t="s">
        <v>46</v>
      </c>
      <c r="E19" s="20" t="s">
        <v>46</v>
      </c>
      <c r="F19" s="20" t="s">
        <v>46</v>
      </c>
      <c r="G19" s="20" t="s">
        <v>46</v>
      </c>
    </row>
    <row x14ac:dyDescent="0.25" r="20" customHeight="1" ht="17.25" customFormat="1" s="27">
      <c r="A20" s="29"/>
      <c r="B20" s="29" t="s">
        <v>50</v>
      </c>
      <c r="C20" s="20" t="s">
        <v>46</v>
      </c>
      <c r="D20" s="20" t="s">
        <v>46</v>
      </c>
      <c r="E20" s="20" t="s">
        <v>46</v>
      </c>
      <c r="F20" s="20" t="s">
        <v>46</v>
      </c>
      <c r="G20" s="20" t="s">
        <v>46</v>
      </c>
    </row>
    <row x14ac:dyDescent="0.25" r="21" customHeight="1" ht="17.25" customFormat="1" s="27">
      <c r="A21" s="29"/>
      <c r="B21" s="29" t="s">
        <v>51</v>
      </c>
      <c r="C21" s="20" t="s">
        <v>46</v>
      </c>
      <c r="D21" s="20" t="s">
        <v>46</v>
      </c>
      <c r="E21" s="20" t="s">
        <v>46</v>
      </c>
      <c r="F21" s="20" t="s">
        <v>46</v>
      </c>
      <c r="G21" s="20" t="s">
        <v>46</v>
      </c>
    </row>
    <row x14ac:dyDescent="0.25" r="22" customHeight="1" ht="17.25" customFormat="1" s="27">
      <c r="A22" s="29"/>
      <c r="B22" s="29" t="s">
        <v>52</v>
      </c>
      <c r="C22" s="20" t="s">
        <v>46</v>
      </c>
      <c r="D22" s="20" t="s">
        <v>46</v>
      </c>
      <c r="E22" s="20" t="s">
        <v>46</v>
      </c>
      <c r="F22" s="20" t="s">
        <v>46</v>
      </c>
      <c r="G22" s="20" t="s">
        <v>46</v>
      </c>
    </row>
    <row x14ac:dyDescent="0.25" r="23" customHeight="1" ht="17.25" customFormat="1" s="27">
      <c r="A23" s="29"/>
      <c r="B23" s="29" t="s">
        <v>53</v>
      </c>
      <c r="C23" s="20" t="s">
        <v>46</v>
      </c>
      <c r="D23" s="20" t="s">
        <v>46</v>
      </c>
      <c r="E23" s="20" t="s">
        <v>46</v>
      </c>
      <c r="F23" s="20" t="s">
        <v>46</v>
      </c>
      <c r="G23" s="20" t="s">
        <v>46</v>
      </c>
    </row>
    <row x14ac:dyDescent="0.25" r="24" customHeight="1" ht="17.25" customFormat="1" s="27">
      <c r="A24" s="29"/>
      <c r="B24" s="29" t="s">
        <v>54</v>
      </c>
      <c r="C24" s="20" t="s">
        <v>46</v>
      </c>
      <c r="D24" s="20" t="s">
        <v>46</v>
      </c>
      <c r="E24" s="20" t="s">
        <v>46</v>
      </c>
      <c r="F24" s="20" t="s">
        <v>46</v>
      </c>
      <c r="G24" s="20" t="s">
        <v>46</v>
      </c>
    </row>
    <row x14ac:dyDescent="0.25" r="25" customHeight="1" ht="17.25" customFormat="1" s="27">
      <c r="A25" s="29"/>
      <c r="B25" s="29" t="s">
        <v>55</v>
      </c>
      <c r="C25" s="20" t="s">
        <v>46</v>
      </c>
      <c r="D25" s="20" t="s">
        <v>46</v>
      </c>
      <c r="E25" s="20" t="s">
        <v>46</v>
      </c>
      <c r="F25" s="20" t="s">
        <v>46</v>
      </c>
      <c r="G25" s="20" t="s">
        <v>46</v>
      </c>
    </row>
    <row x14ac:dyDescent="0.25" r="26" customHeight="1" ht="17.25" customFormat="1" s="27">
      <c r="A26" s="29"/>
      <c r="B26" s="29" t="s">
        <v>56</v>
      </c>
      <c r="C26" s="20" t="s">
        <v>46</v>
      </c>
      <c r="D26" s="20" t="s">
        <v>46</v>
      </c>
      <c r="E26" s="20" t="s">
        <v>46</v>
      </c>
      <c r="F26" s="20" t="s">
        <v>46</v>
      </c>
      <c r="G26" s="20" t="s">
        <v>46</v>
      </c>
    </row>
    <row x14ac:dyDescent="0.25" r="27" customHeight="1" ht="17.25" customFormat="1" s="27">
      <c r="A27" s="29"/>
      <c r="B27" s="29" t="s">
        <v>57</v>
      </c>
      <c r="C27" s="20" t="s">
        <v>46</v>
      </c>
      <c r="D27" s="20" t="s">
        <v>46</v>
      </c>
      <c r="E27" s="20" t="s">
        <v>46</v>
      </c>
      <c r="F27" s="20" t="s">
        <v>46</v>
      </c>
      <c r="G27" s="20" t="s">
        <v>46</v>
      </c>
    </row>
    <row x14ac:dyDescent="0.25" r="28" customHeight="1" ht="17.25" customFormat="1" s="27">
      <c r="A28" s="29"/>
      <c r="B28" s="29" t="s">
        <v>58</v>
      </c>
      <c r="C28" s="20" t="s">
        <v>46</v>
      </c>
      <c r="D28" s="20" t="s">
        <v>46</v>
      </c>
      <c r="E28" s="20" t="s">
        <v>46</v>
      </c>
      <c r="F28" s="20" t="s">
        <v>46</v>
      </c>
      <c r="G28" s="20" t="s">
        <v>46</v>
      </c>
    </row>
    <row x14ac:dyDescent="0.25" r="29" customHeight="1" ht="17.25" customFormat="1" s="27">
      <c r="A29" s="29"/>
      <c r="B29" s="29" t="s">
        <v>59</v>
      </c>
      <c r="C29" s="20" t="s">
        <v>46</v>
      </c>
      <c r="D29" s="20" t="s">
        <v>46</v>
      </c>
      <c r="E29" s="20" t="s">
        <v>46</v>
      </c>
      <c r="F29" s="20" t="s">
        <v>46</v>
      </c>
      <c r="G29" s="20" t="s">
        <v>46</v>
      </c>
    </row>
    <row x14ac:dyDescent="0.25" r="30" customHeight="1" ht="17.25" customFormat="1" s="27">
      <c r="A30" s="29"/>
      <c r="B30" s="29" t="s">
        <v>60</v>
      </c>
      <c r="C30" s="20" t="s">
        <v>46</v>
      </c>
      <c r="D30" s="20" t="s">
        <v>46</v>
      </c>
      <c r="E30" s="20" t="s">
        <v>46</v>
      </c>
      <c r="F30" s="20" t="s">
        <v>46</v>
      </c>
      <c r="G30" s="20" t="s">
        <v>46</v>
      </c>
    </row>
    <row x14ac:dyDescent="0.25" r="31" customHeight="1" ht="17.25" customFormat="1" s="27">
      <c r="A31" s="29"/>
      <c r="B31" s="29" t="s">
        <v>61</v>
      </c>
      <c r="C31" s="20" t="s">
        <v>46</v>
      </c>
      <c r="D31" s="20" t="s">
        <v>46</v>
      </c>
      <c r="E31" s="20" t="s">
        <v>46</v>
      </c>
      <c r="F31" s="20" t="s">
        <v>46</v>
      </c>
      <c r="G31" s="20" t="s">
        <v>46</v>
      </c>
    </row>
    <row x14ac:dyDescent="0.25" r="32" customHeight="1" ht="17.25" customFormat="1" s="27">
      <c r="A32" s="29"/>
      <c r="B32" s="29" t="s">
        <v>122</v>
      </c>
      <c r="C32" s="20" t="s">
        <v>46</v>
      </c>
      <c r="D32" s="20" t="s">
        <v>46</v>
      </c>
      <c r="E32" s="20" t="s">
        <v>46</v>
      </c>
      <c r="F32" s="20" t="s">
        <v>46</v>
      </c>
      <c r="G32" s="20" t="s">
        <v>46</v>
      </c>
    </row>
    <row x14ac:dyDescent="0.25" r="33" customHeight="1" ht="17.25">
      <c r="A33" s="30" t="s">
        <v>64</v>
      </c>
      <c r="B33" s="31" t="s">
        <v>65</v>
      </c>
      <c r="C33" s="20" t="s">
        <v>46</v>
      </c>
      <c r="D33" s="20" t="s">
        <v>46</v>
      </c>
      <c r="E33" s="20" t="s">
        <v>46</v>
      </c>
      <c r="F33" s="20" t="s">
        <v>46</v>
      </c>
      <c r="G33" s="20" t="s">
        <v>46</v>
      </c>
    </row>
    <row x14ac:dyDescent="0.25" r="34" customHeight="1" ht="17.25">
      <c r="A34" s="32"/>
      <c r="B34" s="33" t="s">
        <v>66</v>
      </c>
      <c r="C34" s="20" t="s">
        <v>46</v>
      </c>
      <c r="D34" s="20" t="s">
        <v>46</v>
      </c>
      <c r="E34" s="20" t="s">
        <v>46</v>
      </c>
      <c r="F34" s="20" t="s">
        <v>46</v>
      </c>
      <c r="G34" s="20" t="s">
        <v>46</v>
      </c>
    </row>
    <row x14ac:dyDescent="0.25" r="35" customHeight="1" ht="17.25">
      <c r="A35" s="32"/>
      <c r="B35" s="33" t="s">
        <v>67</v>
      </c>
      <c r="C35" s="20" t="s">
        <v>46</v>
      </c>
      <c r="D35" s="20" t="s">
        <v>46</v>
      </c>
      <c r="E35" s="20" t="s">
        <v>46</v>
      </c>
      <c r="F35" s="20" t="s">
        <v>46</v>
      </c>
      <c r="G35" s="20" t="s">
        <v>46</v>
      </c>
    </row>
    <row x14ac:dyDescent="0.25" r="36" customHeight="1" ht="17.25">
      <c r="A36" s="32"/>
      <c r="B36" s="33" t="s">
        <v>68</v>
      </c>
      <c r="C36" s="20" t="s">
        <v>46</v>
      </c>
      <c r="D36" s="20" t="s">
        <v>46</v>
      </c>
      <c r="E36" s="20" t="s">
        <v>46</v>
      </c>
      <c r="F36" s="20" t="s">
        <v>46</v>
      </c>
      <c r="G36" s="20" t="s">
        <v>46</v>
      </c>
    </row>
    <row x14ac:dyDescent="0.25" r="37" customHeight="1" ht="17.25">
      <c r="A37" s="32"/>
      <c r="B37" s="33" t="s">
        <v>69</v>
      </c>
      <c r="C37" s="20" t="s">
        <v>46</v>
      </c>
      <c r="D37" s="20" t="s">
        <v>46</v>
      </c>
      <c r="E37" s="20" t="s">
        <v>46</v>
      </c>
      <c r="F37" s="20" t="s">
        <v>46</v>
      </c>
      <c r="G37" s="20" t="s">
        <v>46</v>
      </c>
    </row>
    <row x14ac:dyDescent="0.25" r="38" customHeight="1" ht="17.25">
      <c r="A38" s="32"/>
      <c r="B38" s="33" t="s">
        <v>70</v>
      </c>
      <c r="C38" s="20" t="s">
        <v>46</v>
      </c>
      <c r="D38" s="20" t="s">
        <v>46</v>
      </c>
      <c r="E38" s="20" t="s">
        <v>46</v>
      </c>
      <c r="F38" s="20" t="s">
        <v>46</v>
      </c>
      <c r="G38" s="20" t="s">
        <v>46</v>
      </c>
    </row>
    <row x14ac:dyDescent="0.25" r="39" customHeight="1" ht="17.25">
      <c r="A39" s="32"/>
      <c r="B39" s="33" t="s">
        <v>71</v>
      </c>
      <c r="C39" s="20" t="s">
        <v>46</v>
      </c>
      <c r="D39" s="20" t="s">
        <v>46</v>
      </c>
      <c r="E39" s="20" t="s">
        <v>46</v>
      </c>
      <c r="F39" s="20" t="s">
        <v>46</v>
      </c>
      <c r="G39" s="20" t="s">
        <v>46</v>
      </c>
    </row>
    <row x14ac:dyDescent="0.25" r="40" customHeight="1" ht="17.25">
      <c r="A40" s="32"/>
      <c r="B40" s="33" t="s">
        <v>72</v>
      </c>
      <c r="C40" s="20" t="s">
        <v>46</v>
      </c>
      <c r="D40" s="20" t="s">
        <v>46</v>
      </c>
      <c r="E40" s="20" t="s">
        <v>46</v>
      </c>
      <c r="F40" s="20" t="s">
        <v>46</v>
      </c>
      <c r="G40" s="20" t="s">
        <v>46</v>
      </c>
    </row>
    <row x14ac:dyDescent="0.25" r="41" customHeight="1" ht="17.25">
      <c r="A41" s="34" t="s">
        <v>73</v>
      </c>
      <c r="B41" s="35"/>
      <c r="C41" s="36">
        <f>COUNTIF(C17:C40,"○")/24*100</f>
      </c>
      <c r="D41" s="36">
        <f>COUNTIF(D17:D40,"○")/24*100</f>
      </c>
      <c r="E41" s="36">
        <f>COUNTIF(E17:E40,"○")/24*100</f>
      </c>
      <c r="F41" s="36">
        <f>COUNTIF(F17:F40,"○")/24*100</f>
      </c>
      <c r="G41" s="36">
        <f>COUNTIF(G17:G40,"○")/24*100</f>
      </c>
    </row>
    <row x14ac:dyDescent="0.25" r="42" customHeight="1" ht="115.95">
      <c r="A42" s="34" t="s">
        <v>74</v>
      </c>
      <c r="B42" s="35"/>
      <c r="C42" s="23"/>
      <c r="D42" s="23"/>
      <c r="E42" s="23"/>
      <c r="F42" s="23"/>
      <c r="G42" s="20"/>
    </row>
    <row x14ac:dyDescent="0.25" r="43" customHeight="1" ht="17.25">
      <c r="A43" s="37" t="s">
        <v>75</v>
      </c>
      <c r="B43" s="38" t="s">
        <v>76</v>
      </c>
      <c r="C43" s="39">
        <f>LEN(C15)</f>
      </c>
      <c r="D43" s="40">
        <f>LEN(D15)</f>
      </c>
      <c r="E43" s="39">
        <f>LEN(E15)</f>
      </c>
      <c r="F43" s="40">
        <f>LEN(F15)</f>
      </c>
      <c r="G43" s="39">
        <f>LEN(G15)</f>
      </c>
    </row>
    <row x14ac:dyDescent="0.25" r="44" customHeight="1" ht="17.25">
      <c r="A44" s="41"/>
      <c r="B44" s="38" t="s">
        <v>77</v>
      </c>
      <c r="C44" s="39">
        <f>LEN(C16)</f>
      </c>
      <c r="D44" s="40">
        <f>LEN(D16)</f>
      </c>
      <c r="E44" s="39">
        <f>LEN(E16)</f>
      </c>
      <c r="F44" s="40">
        <f>LEN(F16)</f>
      </c>
      <c r="G44" s="39">
        <f>LEN(G16)</f>
      </c>
    </row>
    <row x14ac:dyDescent="0.25" r="45" customHeight="1" ht="17.25">
      <c r="A45" s="4"/>
      <c r="B45" s="42"/>
      <c r="C45" s="3"/>
      <c r="D45" s="43"/>
      <c r="E45" s="3"/>
      <c r="F45" s="43"/>
      <c r="G45" s="3"/>
    </row>
    <row x14ac:dyDescent="0.25" r="46" customHeight="1" ht="17.25">
      <c r="A46" s="6" t="s">
        <v>78</v>
      </c>
      <c r="B46" s="5"/>
      <c r="C46" s="3"/>
      <c r="D46" s="3"/>
      <c r="E46" s="3"/>
      <c r="F46" s="3"/>
      <c r="G46" s="3"/>
    </row>
    <row x14ac:dyDescent="0.25" r="47" customHeight="1" ht="17.25">
      <c r="A47" s="19" t="s">
        <v>7</v>
      </c>
      <c r="B47" s="19"/>
      <c r="C47" s="44" t="s">
        <v>79</v>
      </c>
      <c r="D47" s="44" t="s">
        <v>80</v>
      </c>
      <c r="E47" s="44" t="s">
        <v>81</v>
      </c>
      <c r="F47" s="44" t="s">
        <v>82</v>
      </c>
      <c r="G47" s="44" t="s">
        <v>83</v>
      </c>
    </row>
    <row x14ac:dyDescent="0.25" r="48" customHeight="1" ht="386.7">
      <c r="A48" s="22" t="s">
        <v>13</v>
      </c>
      <c r="B48" s="19" t="s">
        <v>14</v>
      </c>
      <c r="C48" s="20" t="s">
        <v>84</v>
      </c>
      <c r="D48" s="20" t="s">
        <v>85</v>
      </c>
      <c r="E48" s="20" t="s">
        <v>86</v>
      </c>
      <c r="F48" s="20" t="s">
        <v>87</v>
      </c>
      <c r="G48" s="20" t="s">
        <v>88</v>
      </c>
    </row>
    <row x14ac:dyDescent="0.25" r="49" customHeight="1" ht="225.6">
      <c r="A49" s="19"/>
      <c r="B49" s="19" t="s">
        <v>20</v>
      </c>
      <c r="C49" s="20" t="s">
        <v>89</v>
      </c>
      <c r="D49" s="20" t="s">
        <v>90</v>
      </c>
      <c r="E49" s="20" t="s">
        <v>91</v>
      </c>
      <c r="F49" s="20" t="s">
        <v>92</v>
      </c>
      <c r="G49" s="20" t="s">
        <v>93</v>
      </c>
    </row>
    <row x14ac:dyDescent="0.25" r="50" customHeight="1" ht="238.19999999999996">
      <c r="A50" s="7" t="s">
        <v>26</v>
      </c>
      <c r="B50" s="8"/>
      <c r="C50" s="23" t="s">
        <v>94</v>
      </c>
      <c r="D50" s="23" t="s">
        <v>95</v>
      </c>
      <c r="E50" s="23" t="s">
        <v>96</v>
      </c>
      <c r="F50" s="23" t="s">
        <v>97</v>
      </c>
      <c r="G50" s="23" t="s">
        <v>98</v>
      </c>
    </row>
    <row x14ac:dyDescent="0.25" r="51" customHeight="1" ht="255">
      <c r="A51" s="7" t="s">
        <v>32</v>
      </c>
      <c r="B51" s="8"/>
      <c r="C51" s="24" t="s">
        <v>123</v>
      </c>
      <c r="D51" s="24" t="s">
        <v>124</v>
      </c>
      <c r="E51" s="24" t="s">
        <v>125</v>
      </c>
      <c r="F51" s="24" t="s">
        <v>126</v>
      </c>
      <c r="G51" s="24" t="s">
        <v>127</v>
      </c>
    </row>
    <row x14ac:dyDescent="0.25" r="52" customHeight="1" ht="253.19999999999996">
      <c r="A52" s="25" t="s">
        <v>38</v>
      </c>
      <c r="B52" s="11"/>
      <c r="C52" s="26" t="s">
        <v>128</v>
      </c>
      <c r="D52" s="24" t="s">
        <v>129</v>
      </c>
      <c r="E52" s="24" t="s">
        <v>130</v>
      </c>
      <c r="F52" s="24" t="s">
        <v>131</v>
      </c>
      <c r="G52" s="26" t="s">
        <v>132</v>
      </c>
    </row>
    <row x14ac:dyDescent="0.25" r="53" customHeight="1" ht="17.25">
      <c r="A53" s="45" t="s">
        <v>44</v>
      </c>
      <c r="B53" s="29" t="s">
        <v>45</v>
      </c>
      <c r="C53" s="46" t="s">
        <v>47</v>
      </c>
      <c r="D53" s="46" t="s">
        <v>47</v>
      </c>
      <c r="E53" s="46" t="s">
        <v>46</v>
      </c>
      <c r="F53" s="46" t="s">
        <v>46</v>
      </c>
      <c r="G53" s="46" t="s">
        <v>46</v>
      </c>
    </row>
    <row x14ac:dyDescent="0.25" r="54" customHeight="1" ht="17.25">
      <c r="A54" s="47"/>
      <c r="B54" s="29" t="s">
        <v>48</v>
      </c>
      <c r="C54" s="46" t="s">
        <v>46</v>
      </c>
      <c r="D54" s="46" t="s">
        <v>46</v>
      </c>
      <c r="E54" s="46" t="s">
        <v>46</v>
      </c>
      <c r="F54" s="46" t="s">
        <v>46</v>
      </c>
      <c r="G54" s="46" t="s">
        <v>46</v>
      </c>
    </row>
    <row x14ac:dyDescent="0.25" r="55" customHeight="1" ht="17.25">
      <c r="A55" s="47"/>
      <c r="B55" s="29" t="s">
        <v>49</v>
      </c>
      <c r="C55" s="46" t="s">
        <v>46</v>
      </c>
      <c r="D55" s="46" t="s">
        <v>46</v>
      </c>
      <c r="E55" s="46" t="s">
        <v>46</v>
      </c>
      <c r="F55" s="46" t="s">
        <v>46</v>
      </c>
      <c r="G55" s="46" t="s">
        <v>46</v>
      </c>
    </row>
    <row x14ac:dyDescent="0.25" r="56" customHeight="1" ht="17.25">
      <c r="A56" s="47"/>
      <c r="B56" s="29" t="s">
        <v>50</v>
      </c>
      <c r="C56" s="46" t="s">
        <v>46</v>
      </c>
      <c r="D56" s="46" t="s">
        <v>46</v>
      </c>
      <c r="E56" s="46" t="s">
        <v>46</v>
      </c>
      <c r="F56" s="46" t="s">
        <v>46</v>
      </c>
      <c r="G56" s="46" t="s">
        <v>46</v>
      </c>
    </row>
    <row x14ac:dyDescent="0.25" r="57" customHeight="1" ht="17.25">
      <c r="A57" s="47"/>
      <c r="B57" s="29" t="s">
        <v>51</v>
      </c>
      <c r="C57" s="46" t="s">
        <v>46</v>
      </c>
      <c r="D57" s="46" t="s">
        <v>46</v>
      </c>
      <c r="E57" s="46" t="s">
        <v>46</v>
      </c>
      <c r="F57" s="46" t="s">
        <v>46</v>
      </c>
      <c r="G57" s="46" t="s">
        <v>46</v>
      </c>
    </row>
    <row x14ac:dyDescent="0.25" r="58" customHeight="1" ht="17.25">
      <c r="A58" s="47"/>
      <c r="B58" s="29" t="s">
        <v>52</v>
      </c>
      <c r="C58" s="46" t="s">
        <v>46</v>
      </c>
      <c r="D58" s="46" t="s">
        <v>46</v>
      </c>
      <c r="E58" s="46" t="s">
        <v>46</v>
      </c>
      <c r="F58" s="46" t="s">
        <v>46</v>
      </c>
      <c r="G58" s="46" t="s">
        <v>46</v>
      </c>
    </row>
    <row x14ac:dyDescent="0.25" r="59" customHeight="1" ht="17.25">
      <c r="A59" s="47"/>
      <c r="B59" s="29" t="s">
        <v>53</v>
      </c>
      <c r="C59" s="46" t="s">
        <v>46</v>
      </c>
      <c r="D59" s="46" t="s">
        <v>46</v>
      </c>
      <c r="E59" s="46" t="s">
        <v>46</v>
      </c>
      <c r="F59" s="46" t="s">
        <v>46</v>
      </c>
      <c r="G59" s="46" t="s">
        <v>46</v>
      </c>
    </row>
    <row x14ac:dyDescent="0.25" r="60" customHeight="1" ht="17.25">
      <c r="A60" s="47"/>
      <c r="B60" s="29" t="s">
        <v>54</v>
      </c>
      <c r="C60" s="46" t="s">
        <v>46</v>
      </c>
      <c r="D60" s="46" t="s">
        <v>46</v>
      </c>
      <c r="E60" s="46" t="s">
        <v>46</v>
      </c>
      <c r="F60" s="46" t="s">
        <v>46</v>
      </c>
      <c r="G60" s="46" t="s">
        <v>46</v>
      </c>
    </row>
    <row x14ac:dyDescent="0.25" r="61" customHeight="1" ht="17.25">
      <c r="A61" s="47"/>
      <c r="B61" s="29" t="s">
        <v>55</v>
      </c>
      <c r="C61" s="46" t="s">
        <v>46</v>
      </c>
      <c r="D61" s="46" t="s">
        <v>46</v>
      </c>
      <c r="E61" s="46" t="s">
        <v>46</v>
      </c>
      <c r="F61" s="46" t="s">
        <v>46</v>
      </c>
      <c r="G61" s="46" t="s">
        <v>46</v>
      </c>
    </row>
    <row x14ac:dyDescent="0.25" r="62" customHeight="1" ht="17.25">
      <c r="A62" s="47"/>
      <c r="B62" s="29" t="s">
        <v>56</v>
      </c>
      <c r="C62" s="46" t="s">
        <v>46</v>
      </c>
      <c r="D62" s="46" t="s">
        <v>46</v>
      </c>
      <c r="E62" s="46" t="s">
        <v>46</v>
      </c>
      <c r="F62" s="46" t="s">
        <v>46</v>
      </c>
      <c r="G62" s="46" t="s">
        <v>46</v>
      </c>
    </row>
    <row x14ac:dyDescent="0.25" r="63" customHeight="1" ht="17.25">
      <c r="A63" s="47"/>
      <c r="B63" s="29" t="s">
        <v>57</v>
      </c>
      <c r="C63" s="46" t="s">
        <v>46</v>
      </c>
      <c r="D63" s="46" t="s">
        <v>46</v>
      </c>
      <c r="E63" s="46" t="s">
        <v>46</v>
      </c>
      <c r="F63" s="46" t="s">
        <v>46</v>
      </c>
      <c r="G63" s="46" t="s">
        <v>46</v>
      </c>
    </row>
    <row x14ac:dyDescent="0.25" r="64" customHeight="1" ht="17.25">
      <c r="A64" s="47"/>
      <c r="B64" s="29" t="s">
        <v>58</v>
      </c>
      <c r="C64" s="46" t="s">
        <v>46</v>
      </c>
      <c r="D64" s="46" t="s">
        <v>46</v>
      </c>
      <c r="E64" s="46" t="s">
        <v>46</v>
      </c>
      <c r="F64" s="46" t="s">
        <v>46</v>
      </c>
      <c r="G64" s="46" t="s">
        <v>46</v>
      </c>
    </row>
    <row x14ac:dyDescent="0.25" r="65" customHeight="1" ht="17.25">
      <c r="A65" s="47"/>
      <c r="B65" s="29" t="s">
        <v>59</v>
      </c>
      <c r="C65" s="46" t="s">
        <v>46</v>
      </c>
      <c r="D65" s="46" t="s">
        <v>46</v>
      </c>
      <c r="E65" s="46" t="s">
        <v>46</v>
      </c>
      <c r="F65" s="46" t="s">
        <v>46</v>
      </c>
      <c r="G65" s="46" t="s">
        <v>46</v>
      </c>
    </row>
    <row x14ac:dyDescent="0.25" r="66" customHeight="1" ht="17.25">
      <c r="A66" s="47"/>
      <c r="B66" s="29" t="s">
        <v>60</v>
      </c>
      <c r="C66" s="46" t="s">
        <v>46</v>
      </c>
      <c r="D66" s="46" t="s">
        <v>46</v>
      </c>
      <c r="E66" s="46" t="s">
        <v>46</v>
      </c>
      <c r="F66" s="46" t="s">
        <v>46</v>
      </c>
      <c r="G66" s="46" t="s">
        <v>46</v>
      </c>
    </row>
    <row x14ac:dyDescent="0.25" r="67" customHeight="1" ht="17.25">
      <c r="A67" s="47"/>
      <c r="B67" s="29" t="s">
        <v>61</v>
      </c>
      <c r="C67" s="46" t="s">
        <v>46</v>
      </c>
      <c r="D67" s="46" t="s">
        <v>46</v>
      </c>
      <c r="E67" s="46" t="s">
        <v>46</v>
      </c>
      <c r="F67" s="46" t="s">
        <v>46</v>
      </c>
      <c r="G67" s="46" t="s">
        <v>46</v>
      </c>
    </row>
    <row x14ac:dyDescent="0.25" r="68" customHeight="1" ht="17.25">
      <c r="A68" s="47"/>
      <c r="B68" s="29" t="s">
        <v>122</v>
      </c>
      <c r="C68" s="46" t="s">
        <v>46</v>
      </c>
      <c r="D68" s="46" t="s">
        <v>46</v>
      </c>
      <c r="E68" s="46" t="s">
        <v>46</v>
      </c>
      <c r="F68" s="46" t="s">
        <v>46</v>
      </c>
      <c r="G68" s="46" t="s">
        <v>46</v>
      </c>
    </row>
    <row x14ac:dyDescent="0.25" r="69" customHeight="1" ht="17.25">
      <c r="A69" s="30" t="s">
        <v>64</v>
      </c>
      <c r="B69" s="31" t="s">
        <v>65</v>
      </c>
      <c r="C69" s="46" t="s">
        <v>46</v>
      </c>
      <c r="D69" s="46" t="s">
        <v>46</v>
      </c>
      <c r="E69" s="46" t="s">
        <v>46</v>
      </c>
      <c r="F69" s="46" t="s">
        <v>46</v>
      </c>
      <c r="G69" s="46" t="s">
        <v>46</v>
      </c>
    </row>
    <row x14ac:dyDescent="0.25" r="70" customHeight="1" ht="17.25">
      <c r="A70" s="32"/>
      <c r="B70" s="33" t="s">
        <v>66</v>
      </c>
      <c r="C70" s="46" t="s">
        <v>46</v>
      </c>
      <c r="D70" s="46" t="s">
        <v>46</v>
      </c>
      <c r="E70" s="46" t="s">
        <v>46</v>
      </c>
      <c r="F70" s="46" t="s">
        <v>46</v>
      </c>
      <c r="G70" s="46" t="s">
        <v>46</v>
      </c>
    </row>
    <row x14ac:dyDescent="0.25" r="71" customHeight="1" ht="17.25">
      <c r="A71" s="32"/>
      <c r="B71" s="33" t="s">
        <v>67</v>
      </c>
      <c r="C71" s="46" t="s">
        <v>46</v>
      </c>
      <c r="D71" s="46" t="s">
        <v>46</v>
      </c>
      <c r="E71" s="46" t="s">
        <v>46</v>
      </c>
      <c r="F71" s="46" t="s">
        <v>46</v>
      </c>
      <c r="G71" s="46" t="s">
        <v>46</v>
      </c>
    </row>
    <row x14ac:dyDescent="0.25" r="72" customHeight="1" ht="17.25">
      <c r="A72" s="32"/>
      <c r="B72" s="33" t="s">
        <v>68</v>
      </c>
      <c r="C72" s="46" t="s">
        <v>46</v>
      </c>
      <c r="D72" s="46" t="s">
        <v>46</v>
      </c>
      <c r="E72" s="46" t="s">
        <v>46</v>
      </c>
      <c r="F72" s="46" t="s">
        <v>46</v>
      </c>
      <c r="G72" s="46" t="s">
        <v>46</v>
      </c>
    </row>
    <row x14ac:dyDescent="0.25" r="73" customHeight="1" ht="17.25">
      <c r="A73" s="32"/>
      <c r="B73" s="33" t="s">
        <v>69</v>
      </c>
      <c r="C73" s="46" t="s">
        <v>46</v>
      </c>
      <c r="D73" s="46" t="s">
        <v>46</v>
      </c>
      <c r="E73" s="46" t="s">
        <v>46</v>
      </c>
      <c r="F73" s="46" t="s">
        <v>46</v>
      </c>
      <c r="G73" s="46" t="s">
        <v>46</v>
      </c>
    </row>
    <row x14ac:dyDescent="0.25" r="74" customHeight="1" ht="17.25">
      <c r="A74" s="32"/>
      <c r="B74" s="33" t="s">
        <v>70</v>
      </c>
      <c r="C74" s="46" t="s">
        <v>46</v>
      </c>
      <c r="D74" s="46" t="s">
        <v>46</v>
      </c>
      <c r="E74" s="46" t="s">
        <v>46</v>
      </c>
      <c r="F74" s="46" t="s">
        <v>46</v>
      </c>
      <c r="G74" s="46" t="s">
        <v>46</v>
      </c>
    </row>
    <row x14ac:dyDescent="0.25" r="75" customHeight="1" ht="17.25">
      <c r="A75" s="32"/>
      <c r="B75" s="33" t="s">
        <v>71</v>
      </c>
      <c r="C75" s="46" t="s">
        <v>46</v>
      </c>
      <c r="D75" s="46" t="s">
        <v>46</v>
      </c>
      <c r="E75" s="46" t="s">
        <v>46</v>
      </c>
      <c r="F75" s="46" t="s">
        <v>46</v>
      </c>
      <c r="G75" s="46" t="s">
        <v>46</v>
      </c>
    </row>
    <row x14ac:dyDescent="0.25" r="76" customHeight="1" ht="17.25">
      <c r="A76" s="32"/>
      <c r="B76" s="33" t="s">
        <v>72</v>
      </c>
      <c r="C76" s="46" t="s">
        <v>46</v>
      </c>
      <c r="D76" s="46" t="s">
        <v>46</v>
      </c>
      <c r="E76" s="46" t="s">
        <v>46</v>
      </c>
      <c r="F76" s="46" t="s">
        <v>46</v>
      </c>
      <c r="G76" s="46" t="s">
        <v>46</v>
      </c>
    </row>
    <row x14ac:dyDescent="0.25" r="77" customHeight="1" ht="17.25">
      <c r="A77" s="34" t="s">
        <v>73</v>
      </c>
      <c r="B77" s="35"/>
      <c r="C77" s="36">
        <f>COUNTIF(C53:C76,"○")/24*100</f>
      </c>
      <c r="D77" s="36">
        <f>COUNTIF(D53:D76,"○")/24*100</f>
      </c>
      <c r="E77" s="36">
        <f>COUNTIF(E53:E76,"○")/24*100</f>
      </c>
      <c r="F77" s="36">
        <f>COUNTIF(F53:F76,"○")/24*100</f>
      </c>
      <c r="G77" s="36">
        <f>COUNTIF(G53:G76,"○")/24*100</f>
      </c>
    </row>
    <row x14ac:dyDescent="0.25" r="78" customHeight="1" ht="115.95">
      <c r="A78" s="34" t="s">
        <v>74</v>
      </c>
      <c r="B78" s="35"/>
      <c r="C78" s="23"/>
      <c r="D78" s="23"/>
      <c r="E78" s="23"/>
      <c r="F78" s="23"/>
      <c r="G78" s="20"/>
    </row>
    <row x14ac:dyDescent="0.25" r="79" customHeight="1" ht="17.25">
      <c r="A79" s="37" t="s">
        <v>75</v>
      </c>
      <c r="B79" s="38" t="s">
        <v>76</v>
      </c>
      <c r="C79" s="40">
        <f>LEN(C51)</f>
      </c>
      <c r="D79" s="40">
        <f>LEN(D51)</f>
      </c>
      <c r="E79" s="40">
        <f>LEN(E51)</f>
      </c>
      <c r="F79" s="40">
        <f>LEN(F51)</f>
      </c>
      <c r="G79" s="40">
        <f>LEN(G51)</f>
      </c>
    </row>
    <row x14ac:dyDescent="0.25" r="80" customHeight="1" ht="17.25">
      <c r="A80" s="41"/>
      <c r="B80" s="38" t="s">
        <v>77</v>
      </c>
      <c r="C80" s="40">
        <f>LEN(C52)</f>
      </c>
      <c r="D80" s="40">
        <f>LEN(D52)</f>
      </c>
      <c r="E80" s="40">
        <f>LEN(E52)</f>
      </c>
      <c r="F80" s="40">
        <f>LEN(F52)</f>
      </c>
      <c r="G80" s="40">
        <f>LEN(G52)</f>
      </c>
    </row>
  </sheetData>
  <mergeCells count="23">
    <mergeCell ref="A4:B4"/>
    <mergeCell ref="A5:B7"/>
    <mergeCell ref="C5:C7"/>
    <mergeCell ref="A11:B11"/>
    <mergeCell ref="A12:A13"/>
    <mergeCell ref="A14:B14"/>
    <mergeCell ref="A15:B15"/>
    <mergeCell ref="A16:B16"/>
    <mergeCell ref="A17:A32"/>
    <mergeCell ref="A33:A40"/>
    <mergeCell ref="A41:B41"/>
    <mergeCell ref="A42:B42"/>
    <mergeCell ref="A43:A44"/>
    <mergeCell ref="A47:B47"/>
    <mergeCell ref="A48:A49"/>
    <mergeCell ref="A50:B50"/>
    <mergeCell ref="A51:B51"/>
    <mergeCell ref="A52:B52"/>
    <mergeCell ref="A53:A68"/>
    <mergeCell ref="A69:A76"/>
    <mergeCell ref="A77:B77"/>
    <mergeCell ref="A78:B78"/>
    <mergeCell ref="A79:A8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82"/>
  <sheetViews>
    <sheetView workbookViewId="0" tabSelected="1"/>
  </sheetViews>
  <sheetFormatPr defaultRowHeight="15" x14ac:dyDescent="0.25"/>
  <cols>
    <col min="1" max="1" style="48" width="22.14785714285714" customWidth="1" bestFit="1"/>
    <col min="2" max="2" style="49" width="46.14785714285715" customWidth="1" bestFit="1"/>
    <col min="3" max="3" style="50" width="99.7192857142857" customWidth="1" bestFit="1"/>
    <col min="4" max="4" style="50" width="99.7192857142857" customWidth="1" bestFit="1"/>
    <col min="5" max="5" style="50" width="99.7192857142857" customWidth="1" bestFit="1"/>
    <col min="6" max="6" style="50" width="99.7192857142857" customWidth="1" bestFit="1"/>
    <col min="7" max="7" style="50" width="99.7192857142857" customWidth="1" bestFit="1"/>
  </cols>
  <sheetData>
    <row x14ac:dyDescent="0.25" r="1" customHeight="1" ht="34.5">
      <c r="A1" s="1" t="s">
        <v>0</v>
      </c>
      <c r="B1" s="1"/>
      <c r="C1" s="2"/>
      <c r="D1" s="3"/>
      <c r="E1" s="3"/>
      <c r="F1" s="3"/>
      <c r="G1" s="3"/>
    </row>
    <row x14ac:dyDescent="0.25" r="2" customHeight="1" ht="17.25">
      <c r="A2" s="4"/>
      <c r="B2" s="5"/>
      <c r="C2" s="3"/>
      <c r="D2" s="3"/>
      <c r="E2" s="3"/>
      <c r="F2" s="3"/>
      <c r="G2" s="3"/>
    </row>
    <row x14ac:dyDescent="0.25" r="3" customHeight="1" ht="27.75">
      <c r="A3" s="6" t="s">
        <v>1</v>
      </c>
      <c r="B3" s="5"/>
      <c r="C3" s="3"/>
      <c r="D3" s="3"/>
      <c r="E3" s="3"/>
      <c r="F3" s="3"/>
      <c r="G3" s="3"/>
    </row>
    <row x14ac:dyDescent="0.25" r="4" customHeight="1" ht="26.25">
      <c r="A4" s="7" t="s">
        <v>2</v>
      </c>
      <c r="B4" s="8"/>
      <c r="C4" s="9" t="s">
        <v>3</v>
      </c>
      <c r="D4" s="3"/>
      <c r="E4" s="3"/>
      <c r="F4" s="3"/>
      <c r="G4" s="3"/>
    </row>
    <row x14ac:dyDescent="0.25" r="5" customHeight="1" ht="339">
      <c r="A5" s="10" t="s">
        <v>4</v>
      </c>
      <c r="B5" s="11"/>
      <c r="C5" s="12" t="s">
        <v>5</v>
      </c>
      <c r="D5" s="3"/>
      <c r="E5" s="3"/>
      <c r="F5" s="3"/>
      <c r="G5" s="3"/>
    </row>
    <row x14ac:dyDescent="0.25" r="6" customHeight="1" ht="288">
      <c r="A6" s="13"/>
      <c r="B6" s="14"/>
      <c r="C6" s="15"/>
      <c r="D6" s="3"/>
      <c r="E6" s="3"/>
      <c r="F6" s="3"/>
      <c r="G6" s="3"/>
    </row>
    <row x14ac:dyDescent="0.25" r="7" customHeight="1" ht="363.6000000000001">
      <c r="A7" s="16"/>
      <c r="B7" s="17"/>
      <c r="C7" s="18"/>
      <c r="D7" s="3"/>
      <c r="E7" s="3"/>
      <c r="F7" s="3"/>
      <c r="G7" s="3"/>
    </row>
    <row x14ac:dyDescent="0.25" r="8" customHeight="1" ht="17.25">
      <c r="A8" s="4"/>
      <c r="B8" s="5"/>
      <c r="C8" s="3"/>
      <c r="D8" s="3"/>
      <c r="E8" s="3"/>
      <c r="F8" s="3"/>
      <c r="G8" s="3"/>
    </row>
    <row x14ac:dyDescent="0.25" r="9" customHeight="1" ht="17.25">
      <c r="A9" s="4"/>
      <c r="B9" s="5"/>
      <c r="C9" s="3"/>
      <c r="D9" s="3"/>
      <c r="E9" s="3"/>
      <c r="F9" s="3"/>
      <c r="G9" s="3"/>
    </row>
    <row x14ac:dyDescent="0.25" r="10" customHeight="1" ht="17.25">
      <c r="A10" s="6" t="s">
        <v>6</v>
      </c>
      <c r="B10" s="5"/>
      <c r="C10" s="3"/>
      <c r="D10" s="3"/>
      <c r="E10" s="3"/>
      <c r="F10" s="3"/>
      <c r="G10" s="3"/>
    </row>
    <row x14ac:dyDescent="0.25" r="11" customHeight="1" ht="17.25">
      <c r="A11" s="19" t="s">
        <v>7</v>
      </c>
      <c r="B11" s="19"/>
      <c r="C11" s="20" t="s">
        <v>8</v>
      </c>
      <c r="D11" s="21" t="s">
        <v>9</v>
      </c>
      <c r="E11" s="20" t="s">
        <v>10</v>
      </c>
      <c r="F11" s="21" t="s">
        <v>11</v>
      </c>
      <c r="G11" s="20" t="s">
        <v>12</v>
      </c>
    </row>
    <row x14ac:dyDescent="0.25" r="12" customHeight="1" ht="385.95">
      <c r="A12" s="22" t="s">
        <v>13</v>
      </c>
      <c r="B12" s="19" t="s">
        <v>14</v>
      </c>
      <c r="C12" s="20" t="s">
        <v>15</v>
      </c>
      <c r="D12" s="20" t="s">
        <v>16</v>
      </c>
      <c r="E12" s="20" t="s">
        <v>17</v>
      </c>
      <c r="F12" s="20" t="s">
        <v>18</v>
      </c>
      <c r="G12" s="20" t="s">
        <v>19</v>
      </c>
    </row>
    <row x14ac:dyDescent="0.25" r="13" customHeight="1" ht="227.69999999999996">
      <c r="A13" s="19"/>
      <c r="B13" s="19" t="s">
        <v>20</v>
      </c>
      <c r="C13" s="20" t="s">
        <v>21</v>
      </c>
      <c r="D13" s="20" t="s">
        <v>22</v>
      </c>
      <c r="E13" s="20" t="s">
        <v>23</v>
      </c>
      <c r="F13" s="20" t="s">
        <v>24</v>
      </c>
      <c r="G13" s="20" t="s">
        <v>25</v>
      </c>
    </row>
    <row x14ac:dyDescent="0.25" r="14" customHeight="1" ht="315">
      <c r="A14" s="7" t="s">
        <v>26</v>
      </c>
      <c r="B14" s="8"/>
      <c r="C14" s="23" t="s">
        <v>27</v>
      </c>
      <c r="D14" s="23" t="s">
        <v>28</v>
      </c>
      <c r="E14" s="23" t="s">
        <v>29</v>
      </c>
      <c r="F14" s="23" t="s">
        <v>30</v>
      </c>
      <c r="G14" s="23" t="s">
        <v>31</v>
      </c>
    </row>
    <row x14ac:dyDescent="0.25" r="15" customHeight="1" ht="289.2">
      <c r="A15" s="7" t="s">
        <v>32</v>
      </c>
      <c r="B15" s="8"/>
      <c r="C15" s="24" t="s">
        <v>33</v>
      </c>
      <c r="D15" s="24" t="s">
        <v>34</v>
      </c>
      <c r="E15" s="24" t="s">
        <v>35</v>
      </c>
      <c r="F15" s="24" t="s">
        <v>36</v>
      </c>
      <c r="G15" s="24" t="s">
        <v>37</v>
      </c>
    </row>
    <row x14ac:dyDescent="0.25" r="16" customHeight="1" ht="258.6">
      <c r="A16" s="25" t="s">
        <v>38</v>
      </c>
      <c r="B16" s="11"/>
      <c r="C16" s="26" t="s">
        <v>39</v>
      </c>
      <c r="D16" s="24" t="s">
        <v>40</v>
      </c>
      <c r="E16" s="24" t="s">
        <v>41</v>
      </c>
      <c r="F16" s="24" t="s">
        <v>42</v>
      </c>
      <c r="G16" s="26" t="s">
        <v>43</v>
      </c>
    </row>
    <row x14ac:dyDescent="0.25" r="17" customHeight="1" ht="17.25" customFormat="1" s="27">
      <c r="A17" s="28" t="s">
        <v>44</v>
      </c>
      <c r="B17" s="29" t="s">
        <v>45</v>
      </c>
      <c r="C17" s="20" t="s">
        <v>46</v>
      </c>
      <c r="D17" s="20" t="s">
        <v>46</v>
      </c>
      <c r="E17" s="20" t="s">
        <v>46</v>
      </c>
      <c r="F17" s="20" t="s">
        <v>47</v>
      </c>
      <c r="G17" s="20" t="s">
        <v>47</v>
      </c>
    </row>
    <row x14ac:dyDescent="0.25" r="18" customHeight="1" ht="17.25" customFormat="1" s="27">
      <c r="A18" s="29"/>
      <c r="B18" s="29" t="s">
        <v>48</v>
      </c>
      <c r="C18" s="20" t="s">
        <v>46</v>
      </c>
      <c r="D18" s="20" t="s">
        <v>46</v>
      </c>
      <c r="E18" s="20" t="s">
        <v>46</v>
      </c>
      <c r="F18" s="20" t="s">
        <v>46</v>
      </c>
      <c r="G18" s="20" t="s">
        <v>46</v>
      </c>
    </row>
    <row x14ac:dyDescent="0.25" r="19" customHeight="1" ht="17.25" customFormat="1" s="27">
      <c r="A19" s="29"/>
      <c r="B19" s="29" t="s">
        <v>49</v>
      </c>
      <c r="C19" s="20" t="s">
        <v>46</v>
      </c>
      <c r="D19" s="20" t="s">
        <v>46</v>
      </c>
      <c r="E19" s="20" t="s">
        <v>46</v>
      </c>
      <c r="F19" s="20" t="s">
        <v>46</v>
      </c>
      <c r="G19" s="20" t="s">
        <v>46</v>
      </c>
    </row>
    <row x14ac:dyDescent="0.25" r="20" customHeight="1" ht="17.25" customFormat="1" s="27">
      <c r="A20" s="29"/>
      <c r="B20" s="29" t="s">
        <v>50</v>
      </c>
      <c r="C20" s="20" t="s">
        <v>46</v>
      </c>
      <c r="D20" s="20" t="s">
        <v>46</v>
      </c>
      <c r="E20" s="20" t="s">
        <v>46</v>
      </c>
      <c r="F20" s="20" t="s">
        <v>46</v>
      </c>
      <c r="G20" s="20" t="s">
        <v>46</v>
      </c>
    </row>
    <row x14ac:dyDescent="0.25" r="21" customHeight="1" ht="17.25" customFormat="1" s="27">
      <c r="A21" s="29"/>
      <c r="B21" s="29" t="s">
        <v>51</v>
      </c>
      <c r="C21" s="20" t="s">
        <v>46</v>
      </c>
      <c r="D21" s="20" t="s">
        <v>46</v>
      </c>
      <c r="E21" s="20" t="s">
        <v>46</v>
      </c>
      <c r="F21" s="20" t="s">
        <v>46</v>
      </c>
      <c r="G21" s="20" t="s">
        <v>46</v>
      </c>
    </row>
    <row x14ac:dyDescent="0.25" r="22" customHeight="1" ht="17.25" customFormat="1" s="27">
      <c r="A22" s="29"/>
      <c r="B22" s="29" t="s">
        <v>52</v>
      </c>
      <c r="C22" s="20" t="s">
        <v>46</v>
      </c>
      <c r="D22" s="20" t="s">
        <v>46</v>
      </c>
      <c r="E22" s="20" t="s">
        <v>46</v>
      </c>
      <c r="F22" s="20" t="s">
        <v>46</v>
      </c>
      <c r="G22" s="20" t="s">
        <v>46</v>
      </c>
    </row>
    <row x14ac:dyDescent="0.25" r="23" customHeight="1" ht="17.25" customFormat="1" s="27">
      <c r="A23" s="29"/>
      <c r="B23" s="29" t="s">
        <v>53</v>
      </c>
      <c r="C23" s="20" t="s">
        <v>46</v>
      </c>
      <c r="D23" s="20" t="s">
        <v>46</v>
      </c>
      <c r="E23" s="20" t="s">
        <v>46</v>
      </c>
      <c r="F23" s="20" t="s">
        <v>46</v>
      </c>
      <c r="G23" s="20" t="s">
        <v>46</v>
      </c>
    </row>
    <row x14ac:dyDescent="0.25" r="24" customHeight="1" ht="17.25" customFormat="1" s="27">
      <c r="A24" s="29"/>
      <c r="B24" s="29" t="s">
        <v>54</v>
      </c>
      <c r="C24" s="20" t="s">
        <v>46</v>
      </c>
      <c r="D24" s="20" t="s">
        <v>46</v>
      </c>
      <c r="E24" s="20" t="s">
        <v>46</v>
      </c>
      <c r="F24" s="20" t="s">
        <v>46</v>
      </c>
      <c r="G24" s="20" t="s">
        <v>46</v>
      </c>
    </row>
    <row x14ac:dyDescent="0.25" r="25" customHeight="1" ht="17.25" customFormat="1" s="27">
      <c r="A25" s="29"/>
      <c r="B25" s="29" t="s">
        <v>55</v>
      </c>
      <c r="C25" s="20" t="s">
        <v>46</v>
      </c>
      <c r="D25" s="20" t="s">
        <v>46</v>
      </c>
      <c r="E25" s="20" t="s">
        <v>46</v>
      </c>
      <c r="F25" s="20" t="s">
        <v>46</v>
      </c>
      <c r="G25" s="20" t="s">
        <v>46</v>
      </c>
    </row>
    <row x14ac:dyDescent="0.25" r="26" customHeight="1" ht="17.25" customFormat="1" s="27">
      <c r="A26" s="29"/>
      <c r="B26" s="29" t="s">
        <v>56</v>
      </c>
      <c r="C26" s="20" t="s">
        <v>46</v>
      </c>
      <c r="D26" s="20" t="s">
        <v>46</v>
      </c>
      <c r="E26" s="20" t="s">
        <v>46</v>
      </c>
      <c r="F26" s="20" t="s">
        <v>46</v>
      </c>
      <c r="G26" s="20" t="s">
        <v>46</v>
      </c>
    </row>
    <row x14ac:dyDescent="0.25" r="27" customHeight="1" ht="17.25" customFormat="1" s="27">
      <c r="A27" s="29"/>
      <c r="B27" s="29" t="s">
        <v>57</v>
      </c>
      <c r="C27" s="20" t="s">
        <v>46</v>
      </c>
      <c r="D27" s="20" t="s">
        <v>46</v>
      </c>
      <c r="E27" s="20" t="s">
        <v>46</v>
      </c>
      <c r="F27" s="20" t="s">
        <v>46</v>
      </c>
      <c r="G27" s="20" t="s">
        <v>46</v>
      </c>
    </row>
    <row x14ac:dyDescent="0.25" r="28" customHeight="1" ht="17.25" customFormat="1" s="27">
      <c r="A28" s="29"/>
      <c r="B28" s="29" t="s">
        <v>58</v>
      </c>
      <c r="C28" s="20" t="s">
        <v>46</v>
      </c>
      <c r="D28" s="20" t="s">
        <v>46</v>
      </c>
      <c r="E28" s="20" t="s">
        <v>46</v>
      </c>
      <c r="F28" s="20" t="s">
        <v>46</v>
      </c>
      <c r="G28" s="20" t="s">
        <v>46</v>
      </c>
    </row>
    <row x14ac:dyDescent="0.25" r="29" customHeight="1" ht="17.25" customFormat="1" s="27">
      <c r="A29" s="29"/>
      <c r="B29" s="29" t="s">
        <v>59</v>
      </c>
      <c r="C29" s="20" t="s">
        <v>46</v>
      </c>
      <c r="D29" s="20" t="s">
        <v>46</v>
      </c>
      <c r="E29" s="20" t="s">
        <v>46</v>
      </c>
      <c r="F29" s="20" t="s">
        <v>46</v>
      </c>
      <c r="G29" s="20" t="s">
        <v>46</v>
      </c>
    </row>
    <row x14ac:dyDescent="0.25" r="30" customHeight="1" ht="17.25" customFormat="1" s="27">
      <c r="A30" s="29"/>
      <c r="B30" s="29" t="s">
        <v>60</v>
      </c>
      <c r="C30" s="20" t="s">
        <v>46</v>
      </c>
      <c r="D30" s="20" t="s">
        <v>46</v>
      </c>
      <c r="E30" s="20" t="s">
        <v>46</v>
      </c>
      <c r="F30" s="20" t="s">
        <v>46</v>
      </c>
      <c r="G30" s="20" t="s">
        <v>46</v>
      </c>
    </row>
    <row x14ac:dyDescent="0.25" r="31" customHeight="1" ht="17.25" customFormat="1" s="27">
      <c r="A31" s="29"/>
      <c r="B31" s="29" t="s">
        <v>61</v>
      </c>
      <c r="C31" s="20" t="s">
        <v>46</v>
      </c>
      <c r="D31" s="20" t="s">
        <v>46</v>
      </c>
      <c r="E31" s="20" t="s">
        <v>46</v>
      </c>
      <c r="F31" s="20" t="s">
        <v>46</v>
      </c>
      <c r="G31" s="20" t="s">
        <v>46</v>
      </c>
    </row>
    <row x14ac:dyDescent="0.25" r="32" customHeight="1" ht="17.25" customFormat="1" s="27">
      <c r="A32" s="29"/>
      <c r="B32" s="29" t="s">
        <v>62</v>
      </c>
      <c r="C32" s="20" t="s">
        <v>46</v>
      </c>
      <c r="D32" s="20" t="s">
        <v>46</v>
      </c>
      <c r="E32" s="20" t="s">
        <v>46</v>
      </c>
      <c r="F32" s="20" t="s">
        <v>46</v>
      </c>
      <c r="G32" s="20" t="s">
        <v>46</v>
      </c>
    </row>
    <row x14ac:dyDescent="0.25" r="33" customHeight="1" ht="17.25" customFormat="1" s="27">
      <c r="A33" s="29"/>
      <c r="B33" s="29" t="s">
        <v>63</v>
      </c>
      <c r="C33" s="20" t="s">
        <v>46</v>
      </c>
      <c r="D33" s="20" t="s">
        <v>46</v>
      </c>
      <c r="E33" s="20" t="s">
        <v>46</v>
      </c>
      <c r="F33" s="20" t="s">
        <v>46</v>
      </c>
      <c r="G33" s="20" t="s">
        <v>46</v>
      </c>
    </row>
    <row x14ac:dyDescent="0.25" r="34" customHeight="1" ht="17.25">
      <c r="A34" s="30" t="s">
        <v>64</v>
      </c>
      <c r="B34" s="31" t="s">
        <v>65</v>
      </c>
      <c r="C34" s="20" t="s">
        <v>46</v>
      </c>
      <c r="D34" s="20" t="s">
        <v>46</v>
      </c>
      <c r="E34" s="20" t="s">
        <v>46</v>
      </c>
      <c r="F34" s="20" t="s">
        <v>46</v>
      </c>
      <c r="G34" s="20" t="s">
        <v>46</v>
      </c>
    </row>
    <row x14ac:dyDescent="0.25" r="35" customHeight="1" ht="17.25">
      <c r="A35" s="32"/>
      <c r="B35" s="33" t="s">
        <v>66</v>
      </c>
      <c r="C35" s="20" t="s">
        <v>46</v>
      </c>
      <c r="D35" s="20" t="s">
        <v>46</v>
      </c>
      <c r="E35" s="20" t="s">
        <v>46</v>
      </c>
      <c r="F35" s="20" t="s">
        <v>46</v>
      </c>
      <c r="G35" s="20" t="s">
        <v>46</v>
      </c>
    </row>
    <row x14ac:dyDescent="0.25" r="36" customHeight="1" ht="17.25">
      <c r="A36" s="32"/>
      <c r="B36" s="33" t="s">
        <v>67</v>
      </c>
      <c r="C36" s="20" t="s">
        <v>46</v>
      </c>
      <c r="D36" s="20" t="s">
        <v>46</v>
      </c>
      <c r="E36" s="20" t="s">
        <v>46</v>
      </c>
      <c r="F36" s="20" t="s">
        <v>46</v>
      </c>
      <c r="G36" s="20" t="s">
        <v>46</v>
      </c>
    </row>
    <row x14ac:dyDescent="0.25" r="37" customHeight="1" ht="17.25">
      <c r="A37" s="32"/>
      <c r="B37" s="33" t="s">
        <v>68</v>
      </c>
      <c r="C37" s="20" t="s">
        <v>46</v>
      </c>
      <c r="D37" s="20" t="s">
        <v>46</v>
      </c>
      <c r="E37" s="20" t="s">
        <v>46</v>
      </c>
      <c r="F37" s="20" t="s">
        <v>46</v>
      </c>
      <c r="G37" s="20" t="s">
        <v>46</v>
      </c>
    </row>
    <row x14ac:dyDescent="0.25" r="38" customHeight="1" ht="17.25">
      <c r="A38" s="32"/>
      <c r="B38" s="33" t="s">
        <v>69</v>
      </c>
      <c r="C38" s="20" t="s">
        <v>46</v>
      </c>
      <c r="D38" s="20" t="s">
        <v>46</v>
      </c>
      <c r="E38" s="20" t="s">
        <v>46</v>
      </c>
      <c r="F38" s="20" t="s">
        <v>46</v>
      </c>
      <c r="G38" s="20" t="s">
        <v>46</v>
      </c>
    </row>
    <row x14ac:dyDescent="0.25" r="39" customHeight="1" ht="17.25">
      <c r="A39" s="32"/>
      <c r="B39" s="33" t="s">
        <v>70</v>
      </c>
      <c r="C39" s="20" t="s">
        <v>46</v>
      </c>
      <c r="D39" s="20" t="s">
        <v>46</v>
      </c>
      <c r="E39" s="20" t="s">
        <v>46</v>
      </c>
      <c r="F39" s="20" t="s">
        <v>46</v>
      </c>
      <c r="G39" s="20" t="s">
        <v>46</v>
      </c>
    </row>
    <row x14ac:dyDescent="0.25" r="40" customHeight="1" ht="17.25">
      <c r="A40" s="32"/>
      <c r="B40" s="33" t="s">
        <v>71</v>
      </c>
      <c r="C40" s="20" t="s">
        <v>46</v>
      </c>
      <c r="D40" s="20" t="s">
        <v>46</v>
      </c>
      <c r="E40" s="20" t="s">
        <v>46</v>
      </c>
      <c r="F40" s="20" t="s">
        <v>46</v>
      </c>
      <c r="G40" s="20" t="s">
        <v>46</v>
      </c>
    </row>
    <row x14ac:dyDescent="0.25" r="41" customHeight="1" ht="17.25">
      <c r="A41" s="32"/>
      <c r="B41" s="33" t="s">
        <v>72</v>
      </c>
      <c r="C41" s="20" t="s">
        <v>46</v>
      </c>
      <c r="D41" s="20" t="s">
        <v>46</v>
      </c>
      <c r="E41" s="20" t="s">
        <v>46</v>
      </c>
      <c r="F41" s="20" t="s">
        <v>46</v>
      </c>
      <c r="G41" s="20" t="s">
        <v>46</v>
      </c>
    </row>
    <row x14ac:dyDescent="0.25" r="42" customHeight="1" ht="17.25">
      <c r="A42" s="34" t="s">
        <v>73</v>
      </c>
      <c r="B42" s="35"/>
      <c r="C42" s="36">
        <f>COUNTIF(C17:C41,"○")/25*100</f>
      </c>
      <c r="D42" s="36">
        <f>COUNTIF(D17:D41,"○")/25*100</f>
      </c>
      <c r="E42" s="36">
        <f>COUNTIF(E17:E41,"○")/25*100</f>
      </c>
      <c r="F42" s="36">
        <f>COUNTIF(F17:F41,"○")/25*100</f>
      </c>
      <c r="G42" s="36">
        <f>COUNTIF(G17:G41,"○")/25*100</f>
      </c>
    </row>
    <row x14ac:dyDescent="0.25" r="43" customHeight="1" ht="115.95">
      <c r="A43" s="34" t="s">
        <v>74</v>
      </c>
      <c r="B43" s="35"/>
      <c r="C43" s="23"/>
      <c r="D43" s="23"/>
      <c r="E43" s="23"/>
      <c r="F43" s="23"/>
      <c r="G43" s="20"/>
    </row>
    <row x14ac:dyDescent="0.25" r="44" customHeight="1" ht="17.25">
      <c r="A44" s="37" t="s">
        <v>75</v>
      </c>
      <c r="B44" s="38" t="s">
        <v>76</v>
      </c>
      <c r="C44" s="39">
        <f>LEN(C15)</f>
      </c>
      <c r="D44" s="40">
        <f>LEN(D15)</f>
      </c>
      <c r="E44" s="39">
        <f>LEN(E15)</f>
      </c>
      <c r="F44" s="40">
        <f>LEN(F15)</f>
      </c>
      <c r="G44" s="39">
        <f>LEN(G15)</f>
      </c>
    </row>
    <row x14ac:dyDescent="0.25" r="45" customHeight="1" ht="17.25">
      <c r="A45" s="41"/>
      <c r="B45" s="38" t="s">
        <v>77</v>
      </c>
      <c r="C45" s="39">
        <f>LEN(C16)</f>
      </c>
      <c r="D45" s="40">
        <f>LEN(D16)</f>
      </c>
      <c r="E45" s="39">
        <f>LEN(E16)</f>
      </c>
      <c r="F45" s="40">
        <f>LEN(F16)</f>
      </c>
      <c r="G45" s="39">
        <f>LEN(G16)</f>
      </c>
    </row>
    <row x14ac:dyDescent="0.25" r="46" customHeight="1" ht="17.25">
      <c r="A46" s="4"/>
      <c r="B46" s="42"/>
      <c r="C46" s="3"/>
      <c r="D46" s="43"/>
      <c r="E46" s="3"/>
      <c r="F46" s="43"/>
      <c r="G46" s="3"/>
    </row>
    <row x14ac:dyDescent="0.25" r="47" customHeight="1" ht="17.25">
      <c r="A47" s="6" t="s">
        <v>78</v>
      </c>
      <c r="B47" s="5"/>
      <c r="C47" s="3"/>
      <c r="D47" s="3"/>
      <c r="E47" s="3"/>
      <c r="F47" s="3"/>
      <c r="G47" s="3"/>
    </row>
    <row x14ac:dyDescent="0.25" r="48" customHeight="1" ht="17.25">
      <c r="A48" s="19" t="s">
        <v>7</v>
      </c>
      <c r="B48" s="19"/>
      <c r="C48" s="44" t="s">
        <v>79</v>
      </c>
      <c r="D48" s="44" t="s">
        <v>80</v>
      </c>
      <c r="E48" s="44" t="s">
        <v>81</v>
      </c>
      <c r="F48" s="44" t="s">
        <v>82</v>
      </c>
      <c r="G48" s="44" t="s">
        <v>83</v>
      </c>
    </row>
    <row x14ac:dyDescent="0.25" r="49" customHeight="1" ht="386.7">
      <c r="A49" s="22" t="s">
        <v>13</v>
      </c>
      <c r="B49" s="19" t="s">
        <v>14</v>
      </c>
      <c r="C49" s="20" t="s">
        <v>84</v>
      </c>
      <c r="D49" s="20" t="s">
        <v>85</v>
      </c>
      <c r="E49" s="20" t="s">
        <v>86</v>
      </c>
      <c r="F49" s="20" t="s">
        <v>87</v>
      </c>
      <c r="G49" s="20" t="s">
        <v>88</v>
      </c>
    </row>
    <row x14ac:dyDescent="0.25" r="50" customHeight="1" ht="225.6">
      <c r="A50" s="19"/>
      <c r="B50" s="19" t="s">
        <v>20</v>
      </c>
      <c r="C50" s="20" t="s">
        <v>89</v>
      </c>
      <c r="D50" s="20" t="s">
        <v>90</v>
      </c>
      <c r="E50" s="20" t="s">
        <v>91</v>
      </c>
      <c r="F50" s="20" t="s">
        <v>92</v>
      </c>
      <c r="G50" s="20" t="s">
        <v>93</v>
      </c>
    </row>
    <row x14ac:dyDescent="0.25" r="51" customHeight="1" ht="238.19999999999996">
      <c r="A51" s="7" t="s">
        <v>26</v>
      </c>
      <c r="B51" s="8"/>
      <c r="C51" s="23" t="s">
        <v>94</v>
      </c>
      <c r="D51" s="23" t="s">
        <v>95</v>
      </c>
      <c r="E51" s="23" t="s">
        <v>96</v>
      </c>
      <c r="F51" s="23" t="s">
        <v>97</v>
      </c>
      <c r="G51" s="23" t="s">
        <v>98</v>
      </c>
    </row>
    <row x14ac:dyDescent="0.25" r="52" customHeight="1" ht="255">
      <c r="A52" s="7" t="s">
        <v>32</v>
      </c>
      <c r="B52" s="8"/>
      <c r="C52" s="24" t="s">
        <v>99</v>
      </c>
      <c r="D52" s="24" t="s">
        <v>100</v>
      </c>
      <c r="E52" s="24" t="s">
        <v>101</v>
      </c>
      <c r="F52" s="24" t="s">
        <v>102</v>
      </c>
      <c r="G52" s="24" t="s">
        <v>103</v>
      </c>
    </row>
    <row x14ac:dyDescent="0.25" r="53" customHeight="1" ht="253.19999999999996">
      <c r="A53" s="25" t="s">
        <v>38</v>
      </c>
      <c r="B53" s="11"/>
      <c r="C53" s="26" t="s">
        <v>104</v>
      </c>
      <c r="D53" s="24" t="s">
        <v>105</v>
      </c>
      <c r="E53" s="24" t="s">
        <v>106</v>
      </c>
      <c r="F53" s="24" t="s">
        <v>107</v>
      </c>
      <c r="G53" s="26" t="s">
        <v>108</v>
      </c>
    </row>
    <row x14ac:dyDescent="0.25" r="54" customHeight="1" ht="17.25">
      <c r="A54" s="45" t="s">
        <v>44</v>
      </c>
      <c r="B54" s="29" t="s">
        <v>45</v>
      </c>
      <c r="C54" s="46" t="s">
        <v>47</v>
      </c>
      <c r="D54" s="46" t="s">
        <v>46</v>
      </c>
      <c r="E54" s="46" t="s">
        <v>46</v>
      </c>
      <c r="F54" s="46" t="s">
        <v>46</v>
      </c>
      <c r="G54" s="46" t="s">
        <v>46</v>
      </c>
    </row>
    <row x14ac:dyDescent="0.25" r="55" customHeight="1" ht="17.25">
      <c r="A55" s="47"/>
      <c r="B55" s="29" t="s">
        <v>48</v>
      </c>
      <c r="C55" s="46" t="s">
        <v>46</v>
      </c>
      <c r="D55" s="46" t="s">
        <v>46</v>
      </c>
      <c r="E55" s="46" t="s">
        <v>46</v>
      </c>
      <c r="F55" s="46" t="s">
        <v>46</v>
      </c>
      <c r="G55" s="46" t="s">
        <v>46</v>
      </c>
    </row>
    <row x14ac:dyDescent="0.25" r="56" customHeight="1" ht="17.25">
      <c r="A56" s="47"/>
      <c r="B56" s="29" t="s">
        <v>49</v>
      </c>
      <c r="C56" s="46" t="s">
        <v>46</v>
      </c>
      <c r="D56" s="46" t="s">
        <v>46</v>
      </c>
      <c r="E56" s="46" t="s">
        <v>46</v>
      </c>
      <c r="F56" s="46" t="s">
        <v>46</v>
      </c>
      <c r="G56" s="46" t="s">
        <v>46</v>
      </c>
    </row>
    <row x14ac:dyDescent="0.25" r="57" customHeight="1" ht="17.25">
      <c r="A57" s="47"/>
      <c r="B57" s="29" t="s">
        <v>50</v>
      </c>
      <c r="C57" s="46" t="s">
        <v>46</v>
      </c>
      <c r="D57" s="46" t="s">
        <v>46</v>
      </c>
      <c r="E57" s="46" t="s">
        <v>46</v>
      </c>
      <c r="F57" s="46" t="s">
        <v>46</v>
      </c>
      <c r="G57" s="46" t="s">
        <v>46</v>
      </c>
    </row>
    <row x14ac:dyDescent="0.25" r="58" customHeight="1" ht="17.25">
      <c r="A58" s="47"/>
      <c r="B58" s="29" t="s">
        <v>51</v>
      </c>
      <c r="C58" s="46" t="s">
        <v>46</v>
      </c>
      <c r="D58" s="46" t="s">
        <v>46</v>
      </c>
      <c r="E58" s="46" t="s">
        <v>46</v>
      </c>
      <c r="F58" s="46" t="s">
        <v>46</v>
      </c>
      <c r="G58" s="46" t="s">
        <v>46</v>
      </c>
    </row>
    <row x14ac:dyDescent="0.25" r="59" customHeight="1" ht="17.25">
      <c r="A59" s="47"/>
      <c r="B59" s="29" t="s">
        <v>52</v>
      </c>
      <c r="C59" s="46" t="s">
        <v>46</v>
      </c>
      <c r="D59" s="46" t="s">
        <v>46</v>
      </c>
      <c r="E59" s="46" t="s">
        <v>46</v>
      </c>
      <c r="F59" s="46" t="s">
        <v>46</v>
      </c>
      <c r="G59" s="46" t="s">
        <v>46</v>
      </c>
    </row>
    <row x14ac:dyDescent="0.25" r="60" customHeight="1" ht="17.25">
      <c r="A60" s="47"/>
      <c r="B60" s="29" t="s">
        <v>53</v>
      </c>
      <c r="C60" s="46" t="s">
        <v>46</v>
      </c>
      <c r="D60" s="46" t="s">
        <v>46</v>
      </c>
      <c r="E60" s="46" t="s">
        <v>46</v>
      </c>
      <c r="F60" s="46" t="s">
        <v>46</v>
      </c>
      <c r="G60" s="46" t="s">
        <v>46</v>
      </c>
    </row>
    <row x14ac:dyDescent="0.25" r="61" customHeight="1" ht="17.25">
      <c r="A61" s="47"/>
      <c r="B61" s="29" t="s">
        <v>54</v>
      </c>
      <c r="C61" s="46" t="s">
        <v>46</v>
      </c>
      <c r="D61" s="46" t="s">
        <v>46</v>
      </c>
      <c r="E61" s="46" t="s">
        <v>46</v>
      </c>
      <c r="F61" s="46" t="s">
        <v>46</v>
      </c>
      <c r="G61" s="46" t="s">
        <v>46</v>
      </c>
    </row>
    <row x14ac:dyDescent="0.25" r="62" customHeight="1" ht="17.25">
      <c r="A62" s="47"/>
      <c r="B62" s="29" t="s">
        <v>55</v>
      </c>
      <c r="C62" s="46" t="s">
        <v>46</v>
      </c>
      <c r="D62" s="46" t="s">
        <v>46</v>
      </c>
      <c r="E62" s="46" t="s">
        <v>46</v>
      </c>
      <c r="F62" s="46" t="s">
        <v>46</v>
      </c>
      <c r="G62" s="46" t="s">
        <v>46</v>
      </c>
    </row>
    <row x14ac:dyDescent="0.25" r="63" customHeight="1" ht="17.25">
      <c r="A63" s="47"/>
      <c r="B63" s="29" t="s">
        <v>56</v>
      </c>
      <c r="C63" s="46" t="s">
        <v>46</v>
      </c>
      <c r="D63" s="46" t="s">
        <v>46</v>
      </c>
      <c r="E63" s="46" t="s">
        <v>46</v>
      </c>
      <c r="F63" s="46" t="s">
        <v>46</v>
      </c>
      <c r="G63" s="46" t="s">
        <v>46</v>
      </c>
    </row>
    <row x14ac:dyDescent="0.25" r="64" customHeight="1" ht="17.25">
      <c r="A64" s="47"/>
      <c r="B64" s="29" t="s">
        <v>57</v>
      </c>
      <c r="C64" s="46" t="s">
        <v>46</v>
      </c>
      <c r="D64" s="46" t="s">
        <v>46</v>
      </c>
      <c r="E64" s="46" t="s">
        <v>46</v>
      </c>
      <c r="F64" s="46" t="s">
        <v>46</v>
      </c>
      <c r="G64" s="46" t="s">
        <v>46</v>
      </c>
    </row>
    <row x14ac:dyDescent="0.25" r="65" customHeight="1" ht="17.25">
      <c r="A65" s="47"/>
      <c r="B65" s="29" t="s">
        <v>58</v>
      </c>
      <c r="C65" s="46" t="s">
        <v>46</v>
      </c>
      <c r="D65" s="46" t="s">
        <v>46</v>
      </c>
      <c r="E65" s="46" t="s">
        <v>46</v>
      </c>
      <c r="F65" s="46" t="s">
        <v>46</v>
      </c>
      <c r="G65" s="46" t="s">
        <v>46</v>
      </c>
    </row>
    <row x14ac:dyDescent="0.25" r="66" customHeight="1" ht="17.25">
      <c r="A66" s="47"/>
      <c r="B66" s="29" t="s">
        <v>59</v>
      </c>
      <c r="C66" s="46" t="s">
        <v>46</v>
      </c>
      <c r="D66" s="46" t="s">
        <v>46</v>
      </c>
      <c r="E66" s="46" t="s">
        <v>46</v>
      </c>
      <c r="F66" s="46" t="s">
        <v>46</v>
      </c>
      <c r="G66" s="46" t="s">
        <v>46</v>
      </c>
    </row>
    <row x14ac:dyDescent="0.25" r="67" customHeight="1" ht="17.25">
      <c r="A67" s="47"/>
      <c r="B67" s="29" t="s">
        <v>60</v>
      </c>
      <c r="C67" s="46" t="s">
        <v>46</v>
      </c>
      <c r="D67" s="46" t="s">
        <v>46</v>
      </c>
      <c r="E67" s="46" t="s">
        <v>46</v>
      </c>
      <c r="F67" s="46" t="s">
        <v>46</v>
      </c>
      <c r="G67" s="46" t="s">
        <v>46</v>
      </c>
    </row>
    <row x14ac:dyDescent="0.25" r="68" customHeight="1" ht="17.25">
      <c r="A68" s="47"/>
      <c r="B68" s="29" t="s">
        <v>61</v>
      </c>
      <c r="C68" s="46" t="s">
        <v>46</v>
      </c>
      <c r="D68" s="46" t="s">
        <v>46</v>
      </c>
      <c r="E68" s="46" t="s">
        <v>46</v>
      </c>
      <c r="F68" s="46" t="s">
        <v>46</v>
      </c>
      <c r="G68" s="46" t="s">
        <v>46</v>
      </c>
    </row>
    <row x14ac:dyDescent="0.25" r="69" customHeight="1" ht="17.25">
      <c r="A69" s="47"/>
      <c r="B69" s="29" t="s">
        <v>62</v>
      </c>
      <c r="C69" s="46" t="s">
        <v>46</v>
      </c>
      <c r="D69" s="46" t="s">
        <v>46</v>
      </c>
      <c r="E69" s="46" t="s">
        <v>46</v>
      </c>
      <c r="F69" s="46" t="s">
        <v>46</v>
      </c>
      <c r="G69" s="46" t="s">
        <v>46</v>
      </c>
    </row>
    <row x14ac:dyDescent="0.25" r="70" customHeight="1" ht="17.25">
      <c r="A70" s="47"/>
      <c r="B70" s="29" t="s">
        <v>63</v>
      </c>
      <c r="C70" s="46" t="s">
        <v>46</v>
      </c>
      <c r="D70" s="46" t="s">
        <v>46</v>
      </c>
      <c r="E70" s="46" t="s">
        <v>46</v>
      </c>
      <c r="F70" s="46" t="s">
        <v>46</v>
      </c>
      <c r="G70" s="46" t="s">
        <v>46</v>
      </c>
    </row>
    <row x14ac:dyDescent="0.25" r="71" customHeight="1" ht="17.25">
      <c r="A71" s="30" t="s">
        <v>64</v>
      </c>
      <c r="B71" s="31" t="s">
        <v>65</v>
      </c>
      <c r="C71" s="46" t="s">
        <v>46</v>
      </c>
      <c r="D71" s="46" t="s">
        <v>46</v>
      </c>
      <c r="E71" s="46" t="s">
        <v>46</v>
      </c>
      <c r="F71" s="46" t="s">
        <v>46</v>
      </c>
      <c r="G71" s="46" t="s">
        <v>46</v>
      </c>
    </row>
    <row x14ac:dyDescent="0.25" r="72" customHeight="1" ht="17.25">
      <c r="A72" s="32"/>
      <c r="B72" s="33" t="s">
        <v>66</v>
      </c>
      <c r="C72" s="46" t="s">
        <v>46</v>
      </c>
      <c r="D72" s="46" t="s">
        <v>46</v>
      </c>
      <c r="E72" s="46" t="s">
        <v>46</v>
      </c>
      <c r="F72" s="46" t="s">
        <v>46</v>
      </c>
      <c r="G72" s="46" t="s">
        <v>46</v>
      </c>
    </row>
    <row x14ac:dyDescent="0.25" r="73" customHeight="1" ht="17.25">
      <c r="A73" s="32"/>
      <c r="B73" s="33" t="s">
        <v>67</v>
      </c>
      <c r="C73" s="46" t="s">
        <v>46</v>
      </c>
      <c r="D73" s="46" t="s">
        <v>46</v>
      </c>
      <c r="E73" s="46" t="s">
        <v>46</v>
      </c>
      <c r="F73" s="46" t="s">
        <v>46</v>
      </c>
      <c r="G73" s="46" t="s">
        <v>46</v>
      </c>
    </row>
    <row x14ac:dyDescent="0.25" r="74" customHeight="1" ht="17.25">
      <c r="A74" s="32"/>
      <c r="B74" s="33" t="s">
        <v>68</v>
      </c>
      <c r="C74" s="46" t="s">
        <v>46</v>
      </c>
      <c r="D74" s="46" t="s">
        <v>46</v>
      </c>
      <c r="E74" s="46" t="s">
        <v>46</v>
      </c>
      <c r="F74" s="46" t="s">
        <v>46</v>
      </c>
      <c r="G74" s="46" t="s">
        <v>46</v>
      </c>
    </row>
    <row x14ac:dyDescent="0.25" r="75" customHeight="1" ht="17.25">
      <c r="A75" s="32"/>
      <c r="B75" s="33" t="s">
        <v>69</v>
      </c>
      <c r="C75" s="46" t="s">
        <v>46</v>
      </c>
      <c r="D75" s="46" t="s">
        <v>46</v>
      </c>
      <c r="E75" s="46" t="s">
        <v>46</v>
      </c>
      <c r="F75" s="46" t="s">
        <v>46</v>
      </c>
      <c r="G75" s="46" t="s">
        <v>46</v>
      </c>
    </row>
    <row x14ac:dyDescent="0.25" r="76" customHeight="1" ht="17.25">
      <c r="A76" s="32"/>
      <c r="B76" s="33" t="s">
        <v>70</v>
      </c>
      <c r="C76" s="46" t="s">
        <v>46</v>
      </c>
      <c r="D76" s="46" t="s">
        <v>46</v>
      </c>
      <c r="E76" s="46" t="s">
        <v>46</v>
      </c>
      <c r="F76" s="46" t="s">
        <v>46</v>
      </c>
      <c r="G76" s="46" t="s">
        <v>46</v>
      </c>
    </row>
    <row x14ac:dyDescent="0.25" r="77" customHeight="1" ht="17.25">
      <c r="A77" s="32"/>
      <c r="B77" s="33" t="s">
        <v>71</v>
      </c>
      <c r="C77" s="46" t="s">
        <v>46</v>
      </c>
      <c r="D77" s="46" t="s">
        <v>46</v>
      </c>
      <c r="E77" s="46" t="s">
        <v>46</v>
      </c>
      <c r="F77" s="46" t="s">
        <v>46</v>
      </c>
      <c r="G77" s="46" t="s">
        <v>46</v>
      </c>
    </row>
    <row x14ac:dyDescent="0.25" r="78" customHeight="1" ht="17.25">
      <c r="A78" s="32"/>
      <c r="B78" s="33" t="s">
        <v>72</v>
      </c>
      <c r="C78" s="46" t="s">
        <v>46</v>
      </c>
      <c r="D78" s="46" t="s">
        <v>46</v>
      </c>
      <c r="E78" s="46" t="s">
        <v>46</v>
      </c>
      <c r="F78" s="46" t="s">
        <v>46</v>
      </c>
      <c r="G78" s="46" t="s">
        <v>46</v>
      </c>
    </row>
    <row x14ac:dyDescent="0.25" r="79" customHeight="1" ht="17.25">
      <c r="A79" s="34" t="s">
        <v>73</v>
      </c>
      <c r="B79" s="35"/>
      <c r="C79" s="36">
        <f>COUNTIF(C54:C78,"○")/25*100</f>
      </c>
      <c r="D79" s="36">
        <f>COUNTIF(D54:D78,"○")/25*100</f>
      </c>
      <c r="E79" s="36">
        <f>COUNTIF(E54:E78,"○")/25*100</f>
      </c>
      <c r="F79" s="36">
        <f>COUNTIF(F54:F78,"○")/25*100</f>
      </c>
      <c r="G79" s="36">
        <f>COUNTIF(G54:G78,"○")/25*100</f>
      </c>
    </row>
    <row x14ac:dyDescent="0.25" r="80" customHeight="1" ht="115.95">
      <c r="A80" s="34" t="s">
        <v>74</v>
      </c>
      <c r="B80" s="35"/>
      <c r="C80" s="23"/>
      <c r="D80" s="23"/>
      <c r="E80" s="23"/>
      <c r="F80" s="23"/>
      <c r="G80" s="20"/>
    </row>
    <row x14ac:dyDescent="0.25" r="81" customHeight="1" ht="17.25">
      <c r="A81" s="37" t="s">
        <v>75</v>
      </c>
      <c r="B81" s="38" t="s">
        <v>76</v>
      </c>
      <c r="C81" s="40">
        <f>LEN(C52)</f>
      </c>
      <c r="D81" s="40">
        <f>LEN(D52)</f>
      </c>
      <c r="E81" s="40">
        <f>LEN(E52)</f>
      </c>
      <c r="F81" s="40">
        <f>LEN(F52)</f>
      </c>
      <c r="G81" s="40">
        <f>LEN(G52)</f>
      </c>
    </row>
    <row x14ac:dyDescent="0.25" r="82" customHeight="1" ht="17.25">
      <c r="A82" s="41"/>
      <c r="B82" s="38" t="s">
        <v>77</v>
      </c>
      <c r="C82" s="40">
        <f>LEN(C53)</f>
      </c>
      <c r="D82" s="40">
        <f>LEN(D53)</f>
      </c>
      <c r="E82" s="40">
        <f>LEN(E53)</f>
      </c>
      <c r="F82" s="40">
        <f>LEN(F53)</f>
      </c>
      <c r="G82" s="40">
        <f>LEN(G53)</f>
      </c>
    </row>
  </sheetData>
  <mergeCells count="23">
    <mergeCell ref="A4:B4"/>
    <mergeCell ref="A5:B7"/>
    <mergeCell ref="C5:C7"/>
    <mergeCell ref="A11:B11"/>
    <mergeCell ref="A12:A13"/>
    <mergeCell ref="A14:B14"/>
    <mergeCell ref="A15:B15"/>
    <mergeCell ref="A16:B16"/>
    <mergeCell ref="A17:A33"/>
    <mergeCell ref="A34:A41"/>
    <mergeCell ref="A42:B42"/>
    <mergeCell ref="A43:B43"/>
    <mergeCell ref="A44:A45"/>
    <mergeCell ref="A48:B48"/>
    <mergeCell ref="A49:A50"/>
    <mergeCell ref="A51:B51"/>
    <mergeCell ref="A52:B52"/>
    <mergeCell ref="A53:B53"/>
    <mergeCell ref="A54:A70"/>
    <mergeCell ref="A71:A78"/>
    <mergeCell ref="A79:B79"/>
    <mergeCell ref="A80:B80"/>
    <mergeCell ref="A81:A82"/>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11</vt:i4>
      </vt:variant>
    </vt:vector>
  </HeadingPairs>
  <TitlesOfParts>
    <vt:vector baseType="lpstr" size="11">
      <vt:lpstr>プロンプト</vt:lpstr>
      <vt:lpstr>実験データ（旧）</vt:lpstr>
      <vt:lpstr>実験データ（新_0813）</vt:lpstr>
      <vt:lpstr>Tes-A</vt:lpstr>
      <vt:lpstr>Tes-B</vt:lpstr>
      <vt:lpstr>Tes-C</vt:lpstr>
      <vt:lpstr>Tes-D</vt:lpstr>
      <vt:lpstr>Tes-E</vt:lpstr>
      <vt:lpstr>Tes-F</vt:lpstr>
      <vt:lpstr>Tes-G</vt:lpstr>
      <vt:lpstr>Tes-H</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2026-02-09T15:18:49.782Z</dcterms:created>
  <dcterms:modified xsi:type="dcterms:W3CDTF">2026-02-09T15:18:49.782Z</dcterms:modified>
</cp:coreProperties>
</file>