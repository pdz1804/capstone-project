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Pricing Reference" sheetId="2" r:id="rId5"/>
    <sheet state="visible" name="Monthly Breakdown" sheetId="3" r:id="rId6"/>
    <sheet state="visible" name="GPU Optimization" sheetId="4" r:id="rId7"/>
  </sheets>
  <definedNames/>
  <calcPr/>
  <extLst>
    <ext uri="GoogleSheetsCustomDataVersion2">
      <go:sheetsCustomData xmlns:go="http://customooxmlschemas.google.com/" r:id="rId8" roundtripDataChecksum="7rUncMJZwTYakYu2R0LpXOI1Vp0afITfyOUaDLNq6j0="/>
    </ext>
  </extLst>
</workbook>
</file>

<file path=xl/sharedStrings.xml><?xml version="1.0" encoding="utf-8"?>
<sst xmlns="http://schemas.openxmlformats.org/spreadsheetml/2006/main" count="346" uniqueCount="251">
  <si>
    <t>Cost Estimation Assumptions</t>
  </si>
  <si>
    <t>Parameter</t>
  </si>
  <si>
    <t>Value</t>
  </si>
  <si>
    <t>Unit</t>
  </si>
  <si>
    <t>Source</t>
  </si>
  <si>
    <t>Notes</t>
  </si>
  <si>
    <t>Active Users</t>
  </si>
  <si>
    <t>count</t>
  </si>
  <si>
    <t>Target</t>
  </si>
  <si>
    <t>Monthly active users for forecast</t>
  </si>
  <si>
    <t>Hours per Month</t>
  </si>
  <si>
    <t>hours</t>
  </si>
  <si>
    <t>Standard</t>
  </si>
  <si>
    <t>24/7 × 365 ÷ 12</t>
  </si>
  <si>
    <t>AWS Region</t>
  </si>
  <si>
    <t>us-west-2</t>
  </si>
  <si>
    <t>region</t>
  </si>
  <si>
    <t>Config</t>
  </si>
  <si>
    <t>Oregon - base pricing reference</t>
  </si>
  <si>
    <t>Environment</t>
  </si>
  <si>
    <t>prod</t>
  </si>
  <si>
    <t>text</t>
  </si>
  <si>
    <t>Terraform</t>
  </si>
  <si>
    <t>Production environment</t>
  </si>
  <si>
    <t>COMPUTE</t>
  </si>
  <si>
    <t>Backend Desired Count</t>
  </si>
  <si>
    <t>tasks</t>
  </si>
  <si>
    <t>ECS Fargate tasks (High Availability)</t>
  </si>
  <si>
    <t>Backend Min/Max</t>
  </si>
  <si>
    <t>1 / 10</t>
  </si>
  <si>
    <t>Auto-scaling range</t>
  </si>
  <si>
    <t>Backend vCPU</t>
  </si>
  <si>
    <t>vCPU</t>
  </si>
  <si>
    <t>512 CPU units per task</t>
  </si>
  <si>
    <t>Backend RAM</t>
  </si>
  <si>
    <t>GB</t>
  </si>
  <si>
    <t>1024 MB per task</t>
  </si>
  <si>
    <t>Frontend Desired Count</t>
  </si>
  <si>
    <t>ECS Fargate tasks</t>
  </si>
  <si>
    <t>Frontend Min/Max</t>
  </si>
  <si>
    <t>1 / 5</t>
  </si>
  <si>
    <t>Auto-scaling range (lighter)</t>
  </si>
  <si>
    <t>Frontend vCPU</t>
  </si>
  <si>
    <t>256 CPU units for Node.js</t>
  </si>
  <si>
    <t>Frontend RAM</t>
  </si>
  <si>
    <t>512 MB per task</t>
  </si>
  <si>
    <t>AI/ML &amp; INFERENCE</t>
  </si>
  <si>
    <t>SageMaker Enabled</t>
  </si>
  <si>
    <t>Yes</t>
  </si>
  <si>
    <t>boolean</t>
  </si>
  <si>
    <t>ml.g4dn.xlarge GPU inference</t>
  </si>
  <si>
    <t>Instance Type</t>
  </si>
  <si>
    <t>ml.g4dn.xlarge</t>
  </si>
  <si>
    <t>NVIDIA T4 GPU (1x)</t>
  </si>
  <si>
    <t>Instances (Always-On)</t>
  </si>
  <si>
    <t>Estimate</t>
  </si>
  <si>
    <t>24/7 instance for inference</t>
  </si>
  <si>
    <t>Bedrock Claude Usage</t>
  </si>
  <si>
    <t>~6M tokens</t>
  </si>
  <si>
    <t>tokens</t>
  </si>
  <si>
    <t>Haiku + Sonnet for generation</t>
  </si>
  <si>
    <t>STORAGE &amp; CACHE</t>
  </si>
  <si>
    <t>ElastiCache Serverless</t>
  </si>
  <si>
    <t>Redis search cache</t>
  </si>
  <si>
    <t>Cache Data Size</t>
  </si>
  <si>
    <t>BM25 + dense embeddings</t>
  </si>
  <si>
    <t>Cache TTL</t>
  </si>
  <si>
    <t>seconds</t>
  </si>
  <si>
    <t>10-minute cache validity</t>
  </si>
  <si>
    <t>S3 Bucket (storage)</t>
  </si>
  <si>
    <t>Store the original files and processed files</t>
  </si>
  <si>
    <t>S3 Bucket (requests)</t>
  </si>
  <si>
    <t>Calling the original files and processed files</t>
  </si>
  <si>
    <t>DATABASE</t>
  </si>
  <si>
    <t>DynamoDB Billing</t>
  </si>
  <si>
    <t>On-Demand</t>
  </si>
  <si>
    <t>Flexible for 50 users</t>
  </si>
  <si>
    <t>Read Units</t>
  </si>
  <si>
    <t>M RRU</t>
  </si>
  <si>
    <t>Chat retrieval + insights</t>
  </si>
  <si>
    <t>Write Units</t>
  </si>
  <si>
    <t>M WRU</t>
  </si>
  <si>
    <t>Sessions + messages + telemetry</t>
  </si>
  <si>
    <t>DynamoDB Storage</t>
  </si>
  <si>
    <t>Chat history + profiles</t>
  </si>
  <si>
    <t>NETWORKING</t>
  </si>
  <si>
    <t>ALB Enabled</t>
  </si>
  <si>
    <t>Application Load Balancer</t>
  </si>
  <si>
    <t>ALB LCU (average)</t>
  </si>
  <si>
    <t>LCU</t>
  </si>
  <si>
    <t>50 users = ~1 LCU load</t>
  </si>
  <si>
    <t>HTTPS/SSL</t>
  </si>
  <si>
    <t>ACM certificate enabled</t>
  </si>
  <si>
    <t>WAF Enabled</t>
  </si>
  <si>
    <t>No</t>
  </si>
  <si>
    <t>Not enabled for 50 users</t>
  </si>
  <si>
    <t>CONTINGENCY</t>
  </si>
  <si>
    <t>Buffer Percentage</t>
  </si>
  <si>
    <t>percent</t>
  </si>
  <si>
    <t>15% contingency for growth</t>
  </si>
  <si>
    <t>AWS Pricing Reference (us-west-2)</t>
  </si>
  <si>
    <t>Service</t>
  </si>
  <si>
    <t>Component</t>
  </si>
  <si>
    <t>Unit Price</t>
  </si>
  <si>
    <t>Pricing URL</t>
  </si>
  <si>
    <t>Amazon ECS Fargate</t>
  </si>
  <si>
    <t>$0.04048</t>
  </si>
  <si>
    <t>per vCPU-hour</t>
  </si>
  <si>
    <r>
      <rPr>
        <rFont val="Calibri"/>
        <color rgb="FF1155CC"/>
        <sz val="11.0"/>
        <u/>
      </rPr>
      <t>https://aws.amazon.com/fargate/pricing/</t>
    </r>
    <r>
      <rPr>
        <rFont val="Calibri"/>
        <color theme="1"/>
        <sz val="11.0"/>
      </rPr>
      <t xml:space="preserve"> </t>
    </r>
  </si>
  <si>
    <t>Memory</t>
  </si>
  <si>
    <t>$0.004445</t>
  </si>
  <si>
    <t>per GB-hour</t>
  </si>
  <si>
    <r>
      <rPr>
        <color rgb="FF1155CC"/>
        <u/>
      </rPr>
      <t>https://aws.amazon.com/fargate/pricing/</t>
    </r>
    <r>
      <rPr/>
      <t xml:space="preserve"> </t>
    </r>
  </si>
  <si>
    <t>Amazon SageMaker</t>
  </si>
  <si>
    <t>$0.7364</t>
  </si>
  <si>
    <t>per instance-hour</t>
  </si>
  <si>
    <r>
      <rPr>
        <rFont val="Calibri"/>
        <color rgb="FF1155CC"/>
        <sz val="11.0"/>
        <u/>
      </rPr>
      <t>https://aws.amazon.com/sagemaker/pricing/</t>
    </r>
    <r>
      <rPr>
        <rFont val="Calibri"/>
        <color theme="1"/>
        <sz val="11.0"/>
      </rPr>
      <t xml:space="preserve"> </t>
    </r>
  </si>
  <si>
    <t>Elastic Load Balancing</t>
  </si>
  <si>
    <t>ALB Instance</t>
  </si>
  <si>
    <t>$0.0225</t>
  </si>
  <si>
    <t>per hour</t>
  </si>
  <si>
    <r>
      <rPr>
        <color rgb="FF1155CC"/>
        <u/>
      </rPr>
      <t>https://aws.amazon.com/elasticloadbalancing/pricing/</t>
    </r>
    <r>
      <rPr/>
      <t xml:space="preserve"> </t>
    </r>
  </si>
  <si>
    <t>ALB LCU</t>
  </si>
  <si>
    <t>$0.008</t>
  </si>
  <si>
    <t>per LCU-hour</t>
  </si>
  <si>
    <r>
      <rPr>
        <rFont val="Calibri"/>
        <color rgb="FF1155CC"/>
        <sz val="11.0"/>
        <u/>
      </rPr>
      <t>https://aws.amazon.com/elasticloadbalancing/pricing/</t>
    </r>
    <r>
      <rPr>
        <rFont val="Calibri"/>
        <color theme="1"/>
        <sz val="11.0"/>
      </rPr>
      <t xml:space="preserve"> </t>
    </r>
  </si>
  <si>
    <t>AWS Bedrock</t>
  </si>
  <si>
    <t>Claude Haiku Input</t>
  </si>
  <si>
    <t>$0.00025</t>
  </si>
  <si>
    <t>per 1k tokens</t>
  </si>
  <si>
    <t>https://aws.amazon.com/bedrock/pricing/</t>
  </si>
  <si>
    <t>Claude Haiku Output</t>
  </si>
  <si>
    <t>$0.00125</t>
  </si>
  <si>
    <t>Claude Sonnet 4 Input</t>
  </si>
  <si>
    <t>$0.003</t>
  </si>
  <si>
    <t>Claude Sonnet 4 Output</t>
  </si>
  <si>
    <t>$0.015</t>
  </si>
  <si>
    <t>Amazon DynamoDB</t>
  </si>
  <si>
    <t>On-Demand Reads</t>
  </si>
  <si>
    <t>$0.25</t>
  </si>
  <si>
    <t>per 1M RRU</t>
  </si>
  <si>
    <t>https://aws.amazon.com/dynamodb/pricing/on-demand/</t>
  </si>
  <si>
    <t>On-Demand Writes</t>
  </si>
  <si>
    <t>$1.25</t>
  </si>
  <si>
    <t>per 1M WRU</t>
  </si>
  <si>
    <t>Storage</t>
  </si>
  <si>
    <t>per GB</t>
  </si>
  <si>
    <t>Amazon ElastiCache</t>
  </si>
  <si>
    <t>Serverless (Redis)</t>
  </si>
  <si>
    <t>$0.125</t>
  </si>
  <si>
    <t>https://aws.amazon.com/elasticache/pricing/</t>
  </si>
  <si>
    <t>Amazon ECR</t>
  </si>
  <si>
    <t>$0.10</t>
  </si>
  <si>
    <t>per GB-month</t>
  </si>
  <si>
    <t>https://aws.amazon.com/ecr/pricing/</t>
  </si>
  <si>
    <t>Amazon CloudWatch</t>
  </si>
  <si>
    <t>Logs Ingest</t>
  </si>
  <si>
    <t>$0.50</t>
  </si>
  <si>
    <t>https://aws.amazon.com/cloudwatch/pricing/</t>
  </si>
  <si>
    <t>Logs Storage</t>
  </si>
  <si>
    <t>$0.03</t>
  </si>
  <si>
    <t>AWS WAF</t>
  </si>
  <si>
    <t>Web ACL</t>
  </si>
  <si>
    <t>$5.00</t>
  </si>
  <si>
    <t>per month</t>
  </si>
  <si>
    <t>https://aws.amazon.com/waf/pricing/</t>
  </si>
  <si>
    <t>Amazon S3</t>
  </si>
  <si>
    <t>Standard Storage (First 50 TB)</t>
  </si>
  <si>
    <r>
      <rPr>
        <color rgb="FF1155CC"/>
        <u/>
      </rPr>
      <t>https://aws.amazon.com/s3/pricing/</t>
    </r>
    <r>
      <rPr>
        <color rgb="FF000000"/>
      </rPr>
      <t xml:space="preserve"> </t>
    </r>
  </si>
  <si>
    <t>PUT, COPY, POST, LIST Requests</t>
  </si>
  <si>
    <t>per 1,000 requests</t>
  </si>
  <si>
    <t xml:space="preserve">https://aws.amazon.com/s3/pricing/ </t>
  </si>
  <si>
    <t>Monthly Cost Breakdown - 50 Users</t>
  </si>
  <si>
    <t>Service Category</t>
  </si>
  <si>
    <t>Quantity</t>
  </si>
  <si>
    <t>Base Calc</t>
  </si>
  <si>
    <t>Monthly Cost</t>
  </si>
  <si>
    <t>Percentage</t>
  </si>
  <si>
    <t>ALB Instance Hours</t>
  </si>
  <si>
    <t>730 hrs</t>
  </si>
  <si>
    <t>$0.0225 / hr</t>
  </si>
  <si>
    <t>730 hrs × $0.0225</t>
  </si>
  <si>
    <t>ALB LCU Hours (avg 1.0)</t>
  </si>
  <si>
    <t>$0.008 / hr</t>
  </si>
  <si>
    <t>730 hrs × 1.0 × $0.008</t>
  </si>
  <si>
    <t>CACHE</t>
  </si>
  <si>
    <t>ElastiCache Serverless (Redis)</t>
  </si>
  <si>
    <t>$0.125 / GB-hr</t>
  </si>
  <si>
    <t>730 hrs × 0.5 Gb x 0.125</t>
  </si>
  <si>
    <t>STORAGE</t>
  </si>
  <si>
    <t>10 GB</t>
  </si>
  <si>
    <t>0.023 / GB-month</t>
  </si>
  <si>
    <t>10 x 0.023</t>
  </si>
  <si>
    <t>5000 requests</t>
  </si>
  <si>
    <t>0.05 / 1000 requests</t>
  </si>
  <si>
    <t>5 x 0.05</t>
  </si>
  <si>
    <t>AI/ML</t>
  </si>
  <si>
    <t>AWS Bedrock - Claude Haiku</t>
  </si>
  <si>
    <t>5 Million</t>
  </si>
  <si>
    <t>$1.50 / 1M</t>
  </si>
  <si>
    <t>5M tokens (Blended Rate)</t>
  </si>
  <si>
    <t>DynamoDB On-Demand</t>
  </si>
  <si>
    <t>$5.00 / month</t>
  </si>
  <si>
    <t>RRU/WRU + Storage for 50 users</t>
  </si>
  <si>
    <t>MONITORING</t>
  </si>
  <si>
    <t>CloudWatch Logs</t>
  </si>
  <si>
    <t>$10.00 / month</t>
  </si>
  <si>
    <t>15GB Ingest + Storage</t>
  </si>
  <si>
    <t>CONTAINER REG</t>
  </si>
  <si>
    <t>ECR Storage</t>
  </si>
  <si>
    <t>12 GB</t>
  </si>
  <si>
    <t>$0.10 / GB</t>
  </si>
  <si>
    <t>12GB × $0.10</t>
  </si>
  <si>
    <t>ECS Backend (2 Tasks: 0.5 vCPU)</t>
  </si>
  <si>
    <t>$0.02024 / hr</t>
  </si>
  <si>
    <t>730 hrs × 2 × $0.02024</t>
  </si>
  <si>
    <t>ECS Backend RAM (2 Tasks: 1GB)</t>
  </si>
  <si>
    <t>$0.004445 / hr</t>
  </si>
  <si>
    <t>730 hrs × 2 × $0.004445</t>
  </si>
  <si>
    <t>ECS Frontend (2 Tasks: 0.25 vCPU)</t>
  </si>
  <si>
    <t>$0.01012 / hr</t>
  </si>
  <si>
    <t>730 hrs × 2 × $0.01012</t>
  </si>
  <si>
    <t>ECS Frontend RAM (2 Tasks: 0.5GB)</t>
  </si>
  <si>
    <t>$0.002223 / hr</t>
  </si>
  <si>
    <t>730 hrs × 2 × $0.002223</t>
  </si>
  <si>
    <t>SageMaker ml.g4dn.xlarge</t>
  </si>
  <si>
    <t>$0.7364 / hr</t>
  </si>
  <si>
    <t>730 hrs × $0.7364</t>
  </si>
  <si>
    <t>TOTAL</t>
  </si>
  <si>
    <t>GPU Cost Optimization: AWS vs. Alternatives</t>
  </si>
  <si>
    <t>For 50 Users: 20 requests/user/day, 15sec GPU time = ~125 hours GPU/month</t>
  </si>
  <si>
    <t>Provider</t>
  </si>
  <si>
    <t>GPU Type</t>
  </si>
  <si>
    <t>Pricing Model</t>
  </si>
  <si>
    <t>Pricing Unit (2026)</t>
  </si>
  <si>
    <t>Always-On Cost</t>
  </si>
  <si>
    <t>50-User Cost (125h)</t>
  </si>
  <si>
    <t>Savings vs AWS</t>
  </si>
  <si>
    <t>AWS SageMaker</t>
  </si>
  <si>
    <t>Dedicated</t>
  </si>
  <si>
    <t>Baseline</t>
  </si>
  <si>
    <t>RunPod Serverless</t>
  </si>
  <si>
    <t>NVIDIA T4</t>
  </si>
  <si>
    <t>Pay-per-sec</t>
  </si>
  <si>
    <t>$0.000164 / s</t>
  </si>
  <si>
    <t>Modal Labs</t>
  </si>
  <si>
    <t>Serverless</t>
  </si>
  <si>
    <t>$0.000225 / s</t>
  </si>
  <si>
    <t>Hyperstack</t>
  </si>
  <si>
    <t>RTX A4000</t>
  </si>
  <si>
    <t>$0.15 / 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</si>
</sst>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"/>
  </numFmts>
  <fonts count="23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u/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color theme="1"/>
      <name val="Calibri"/>
    </font>
    <font>
      <b/>
      <color rgb="FF1F1F1F"/>
      <name val="Calibri"/>
    </font>
    <font>
      <color rgb="FF1F1F1F"/>
      <name val="Calibri"/>
    </font>
    <font>
      <b/>
      <color theme="1"/>
      <name val="Calibri"/>
      <scheme val="minor"/>
    </font>
    <font>
      <b/>
      <i/>
      <color rgb="FF1F1F1F"/>
      <name val="Calibri"/>
    </font>
    <font>
      <i/>
      <color rgb="FF1F1F1F"/>
      <name val="Calibri"/>
    </font>
    <font>
      <b/>
      <i/>
      <color theme="1"/>
      <name val="Calibri"/>
      <scheme val="minor"/>
    </font>
    <font>
      <i/>
      <color theme="1"/>
      <name val="Calibri"/>
      <scheme val="minor"/>
    </font>
    <font>
      <b/>
      <color theme="1"/>
      <name val="Calibri"/>
    </font>
    <font>
      <i/>
      <sz val="10.0"/>
      <color rgb="FF666666"/>
      <name val="Calibri"/>
      <scheme val="minor"/>
    </font>
    <font>
      <b/>
      <color rgb="FF1F1F1F"/>
      <name val="Calibri"/>
      <scheme val="minor"/>
    </font>
    <font>
      <color rgb="FF1F1F1F"/>
      <name val="Calibri"/>
      <scheme val="minor"/>
    </font>
    <font>
      <b/>
      <sz val="11.0"/>
      <color theme="1"/>
      <name val="Calibri"/>
      <scheme val="minor"/>
    </font>
    <font>
      <i/>
      <color rgb="FF008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Border="1" applyFill="1" applyFont="1"/>
    <xf borderId="0" fillId="0" fontId="4" numFmtId="0" xfId="0" applyFont="1"/>
    <xf borderId="2" fillId="2" fontId="5" numFmtId="0" xfId="0" applyBorder="1" applyFont="1"/>
    <xf borderId="2" fillId="3" fontId="3" numFmtId="4" xfId="0" applyAlignment="1" applyBorder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4" numFmtId="0" xfId="0" applyAlignment="1" applyFont="1">
      <alignment readingOrder="0"/>
    </xf>
    <xf borderId="2" fillId="3" fontId="3" numFmtId="0" xfId="0" applyAlignment="1" applyBorder="1" applyFont="1">
      <alignment readingOrder="0"/>
    </xf>
    <xf borderId="2" fillId="3" fontId="3" numFmtId="4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horizontal="right" readingOrder="0"/>
    </xf>
    <xf borderId="2" fillId="3" fontId="3" numFmtId="0" xfId="0" applyAlignment="1" applyBorder="1" applyFont="1">
      <alignment horizontal="left"/>
    </xf>
    <xf borderId="2" fillId="3" fontId="6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2" fillId="3" fontId="3" numFmtId="164" xfId="0" applyAlignment="1" applyBorder="1" applyFont="1" applyNumberFormat="1">
      <alignment horizontal="left" readingOrder="0"/>
    </xf>
    <xf borderId="2" fillId="3" fontId="8" numFmtId="0" xfId="0" applyAlignment="1" applyBorder="1" applyFont="1">
      <alignment readingOrder="0"/>
    </xf>
    <xf borderId="0" fillId="0" fontId="9" numFmtId="0" xfId="0" applyFont="1"/>
    <xf borderId="3" fillId="4" fontId="10" numFmtId="0" xfId="0" applyAlignment="1" applyBorder="1" applyFill="1" applyFont="1">
      <alignment readingOrder="0"/>
    </xf>
    <xf borderId="3" fillId="5" fontId="10" numFmtId="0" xfId="0" applyAlignment="1" applyBorder="1" applyFill="1" applyFont="1">
      <alignment readingOrder="0"/>
    </xf>
    <xf borderId="3" fillId="5" fontId="11" numFmtId="0" xfId="0" applyAlignment="1" applyBorder="1" applyFont="1">
      <alignment readingOrder="0"/>
    </xf>
    <xf borderId="3" fillId="5" fontId="11" numFmtId="4" xfId="0" applyAlignment="1" applyBorder="1" applyFont="1" applyNumberFormat="1">
      <alignment horizontal="left" readingOrder="0"/>
    </xf>
    <xf borderId="3" fillId="5" fontId="10" numFmtId="165" xfId="0" applyAlignment="1" applyBorder="1" applyFont="1" applyNumberFormat="1">
      <alignment readingOrder="0"/>
    </xf>
    <xf borderId="3" fillId="5" fontId="12" numFmtId="10" xfId="0" applyBorder="1" applyFont="1" applyNumberFormat="1"/>
    <xf borderId="3" fillId="0" fontId="10" numFmtId="0" xfId="0" applyAlignment="1" applyBorder="1" applyFont="1">
      <alignment readingOrder="0"/>
    </xf>
    <xf borderId="3" fillId="0" fontId="11" numFmtId="0" xfId="0" applyAlignment="1" applyBorder="1" applyFont="1">
      <alignment readingOrder="0"/>
    </xf>
    <xf borderId="3" fillId="0" fontId="11" numFmtId="4" xfId="0" applyAlignment="1" applyBorder="1" applyFont="1" applyNumberFormat="1">
      <alignment horizontal="left" readingOrder="0"/>
    </xf>
    <xf borderId="3" fillId="0" fontId="10" numFmtId="165" xfId="0" applyAlignment="1" applyBorder="1" applyFont="1" applyNumberFormat="1">
      <alignment readingOrder="0"/>
    </xf>
    <xf borderId="3" fillId="0" fontId="12" numFmtId="10" xfId="0" applyBorder="1" applyFont="1" applyNumberFormat="1"/>
    <xf borderId="3" fillId="0" fontId="11" numFmtId="0" xfId="0" applyAlignment="1" applyBorder="1" applyFont="1">
      <alignment horizontal="left" readingOrder="0"/>
    </xf>
    <xf borderId="3" fillId="0" fontId="11" numFmtId="164" xfId="0" applyAlignment="1" applyBorder="1" applyFont="1" applyNumberFormat="1">
      <alignment horizontal="left" readingOrder="0"/>
    </xf>
    <xf borderId="3" fillId="6" fontId="10" numFmtId="0" xfId="0" applyAlignment="1" applyBorder="1" applyFill="1" applyFont="1">
      <alignment readingOrder="0"/>
    </xf>
    <xf borderId="3" fillId="6" fontId="11" numFmtId="0" xfId="0" applyAlignment="1" applyBorder="1" applyFont="1">
      <alignment readingOrder="0"/>
    </xf>
    <xf borderId="3" fillId="6" fontId="11" numFmtId="4" xfId="0" applyAlignment="1" applyBorder="1" applyFont="1" applyNumberFormat="1">
      <alignment readingOrder="0"/>
    </xf>
    <xf borderId="3" fillId="6" fontId="10" numFmtId="165" xfId="0" applyAlignment="1" applyBorder="1" applyFont="1" applyNumberFormat="1">
      <alignment readingOrder="0"/>
    </xf>
    <xf borderId="3" fillId="6" fontId="12" numFmtId="10" xfId="0" applyBorder="1" applyFont="1" applyNumberFormat="1"/>
    <xf borderId="3" fillId="7" fontId="13" numFmtId="0" xfId="0" applyAlignment="1" applyBorder="1" applyFill="1" applyFont="1">
      <alignment readingOrder="0"/>
    </xf>
    <xf borderId="3" fillId="7" fontId="14" numFmtId="0" xfId="0" applyBorder="1" applyFont="1"/>
    <xf borderId="3" fillId="7" fontId="14" numFmtId="4" xfId="0" applyBorder="1" applyFont="1" applyNumberFormat="1"/>
    <xf borderId="3" fillId="7" fontId="13" numFmtId="165" xfId="0" applyAlignment="1" applyBorder="1" applyFont="1" applyNumberFormat="1">
      <alignment readingOrder="0"/>
    </xf>
    <xf borderId="3" fillId="7" fontId="15" numFmtId="10" xfId="0" applyBorder="1" applyFont="1" applyNumberFormat="1"/>
    <xf borderId="0" fillId="0" fontId="16" numFmtId="0" xfId="0" applyFont="1"/>
    <xf borderId="0" fillId="0" fontId="17" numFmtId="0" xfId="0" applyFont="1"/>
    <xf borderId="0" fillId="0" fontId="17" numFmtId="165" xfId="0" applyAlignment="1" applyFont="1" applyNumberFormat="1">
      <alignment horizontal="right"/>
    </xf>
    <xf borderId="0" fillId="0" fontId="18" numFmtId="0" xfId="0" applyAlignment="1" applyFont="1">
      <alignment readingOrder="0"/>
    </xf>
    <xf borderId="3" fillId="8" fontId="19" numFmtId="0" xfId="0" applyAlignment="1" applyBorder="1" applyFill="1" applyFont="1">
      <alignment readingOrder="0"/>
    </xf>
    <xf borderId="3" fillId="0" fontId="19" numFmtId="0" xfId="0" applyAlignment="1" applyBorder="1" applyFont="1">
      <alignment readingOrder="0"/>
    </xf>
    <xf borderId="3" fillId="0" fontId="20" numFmtId="0" xfId="0" applyAlignment="1" applyBorder="1" applyFont="1">
      <alignment readingOrder="0"/>
    </xf>
    <xf borderId="3" fillId="0" fontId="19" numFmtId="164" xfId="0" applyAlignment="1" applyBorder="1" applyFont="1" applyNumberFormat="1">
      <alignment readingOrder="0"/>
    </xf>
    <xf borderId="3" fillId="0" fontId="19" numFmtId="0" xfId="0" applyAlignment="1" applyBorder="1" applyFont="1">
      <alignment horizontal="right" readingOrder="0"/>
    </xf>
    <xf borderId="3" fillId="0" fontId="20" numFmtId="164" xfId="0" applyAlignment="1" applyBorder="1" applyFont="1" applyNumberFormat="1">
      <alignment readingOrder="0"/>
    </xf>
    <xf borderId="0" fillId="0" fontId="21" numFmtId="0" xfId="0" applyFont="1"/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'Monthly Breakdown'!$B$4:$B$17</c:f>
            </c:strRef>
          </c:cat>
          <c:val>
            <c:numRef>
              <c:f>'Monthly Breakdown'!$G$4:$G$17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18</xdr:row>
      <xdr:rowOff>47625</xdr:rowOff>
    </xdr:from>
    <xdr:ext cx="9086850" cy="5514975"/>
    <xdr:graphicFrame>
      <xdr:nvGraphicFramePr>
        <xdr:cNvPr id="170398139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ws.amazon.com/fargate/pricing/" TargetMode="External"/><Relationship Id="rId2" Type="http://schemas.openxmlformats.org/officeDocument/2006/relationships/hyperlink" Target="https://aws.amazon.com/fargate/pricing/" TargetMode="External"/><Relationship Id="rId3" Type="http://schemas.openxmlformats.org/officeDocument/2006/relationships/hyperlink" Target="https://aws.amazon.com/sagemaker/pricing/" TargetMode="External"/><Relationship Id="rId4" Type="http://schemas.openxmlformats.org/officeDocument/2006/relationships/hyperlink" Target="https://aws.amazon.com/elasticloadbalancing/pricing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aws.amazon.com/elasticloadbalancing/pricing/" TargetMode="External"/><Relationship Id="rId6" Type="http://schemas.openxmlformats.org/officeDocument/2006/relationships/hyperlink" Target="https://aws.amazon.com/dynamodb/pricing/on-demand/" TargetMode="External"/><Relationship Id="rId7" Type="http://schemas.openxmlformats.org/officeDocument/2006/relationships/hyperlink" Target="https://aws.amazon.com/s3/pricing/" TargetMode="External"/><Relationship Id="rId8" Type="http://schemas.openxmlformats.org/officeDocument/2006/relationships/hyperlink" Target="https://aws.amazon.com/cloudwatch/pricin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0"/>
    <col customWidth="1" min="3" max="3" width="15.0"/>
    <col customWidth="1" min="4" max="4" width="18.0"/>
    <col customWidth="1" min="5" max="5" width="40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3">
        <v>50.0</v>
      </c>
      <c r="C4" s="3" t="s">
        <v>7</v>
      </c>
      <c r="D4" s="3" t="s">
        <v>8</v>
      </c>
      <c r="E4" s="3" t="s">
        <v>9</v>
      </c>
    </row>
    <row r="5">
      <c r="A5" s="4" t="s">
        <v>10</v>
      </c>
      <c r="B5" s="4">
        <v>730.0</v>
      </c>
      <c r="C5" s="4" t="s">
        <v>11</v>
      </c>
      <c r="D5" s="4" t="s">
        <v>12</v>
      </c>
      <c r="E5" s="4" t="s">
        <v>13</v>
      </c>
    </row>
    <row r="6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</row>
    <row r="7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</row>
    <row r="9">
      <c r="A9" s="5" t="s">
        <v>24</v>
      </c>
    </row>
    <row r="10">
      <c r="A10" s="3" t="s">
        <v>25</v>
      </c>
      <c r="B10" s="3">
        <v>2.0</v>
      </c>
      <c r="C10" s="3" t="s">
        <v>26</v>
      </c>
      <c r="D10" s="3" t="s">
        <v>22</v>
      </c>
      <c r="E10" s="3" t="s">
        <v>27</v>
      </c>
    </row>
    <row r="11">
      <c r="A11" s="4" t="s">
        <v>28</v>
      </c>
      <c r="B11" s="4" t="s">
        <v>29</v>
      </c>
      <c r="C11" s="4" t="s">
        <v>26</v>
      </c>
      <c r="D11" s="4" t="s">
        <v>22</v>
      </c>
      <c r="E11" s="4" t="s">
        <v>30</v>
      </c>
    </row>
    <row r="12">
      <c r="A12" s="3" t="s">
        <v>31</v>
      </c>
      <c r="B12" s="6">
        <v>0.5</v>
      </c>
      <c r="C12" s="3" t="s">
        <v>32</v>
      </c>
      <c r="D12" s="3" t="s">
        <v>22</v>
      </c>
      <c r="E12" s="3" t="s">
        <v>33</v>
      </c>
    </row>
    <row r="13">
      <c r="A13" s="4" t="s">
        <v>34</v>
      </c>
      <c r="B13" s="4">
        <v>1.0</v>
      </c>
      <c r="C13" s="4" t="s">
        <v>35</v>
      </c>
      <c r="D13" s="4" t="s">
        <v>22</v>
      </c>
      <c r="E13" s="4" t="s">
        <v>36</v>
      </c>
    </row>
    <row r="14">
      <c r="A14" s="3" t="s">
        <v>37</v>
      </c>
      <c r="B14" s="3">
        <v>2.0</v>
      </c>
      <c r="C14" s="3" t="s">
        <v>26</v>
      </c>
      <c r="D14" s="3" t="s">
        <v>22</v>
      </c>
      <c r="E14" s="3" t="s">
        <v>38</v>
      </c>
    </row>
    <row r="15">
      <c r="A15" s="4" t="s">
        <v>39</v>
      </c>
      <c r="B15" s="4" t="s">
        <v>40</v>
      </c>
      <c r="C15" s="4" t="s">
        <v>26</v>
      </c>
      <c r="D15" s="4" t="s">
        <v>22</v>
      </c>
      <c r="E15" s="4" t="s">
        <v>41</v>
      </c>
    </row>
    <row r="16">
      <c r="A16" s="3" t="s">
        <v>42</v>
      </c>
      <c r="B16" s="6">
        <v>0.25</v>
      </c>
      <c r="C16" s="3" t="s">
        <v>32</v>
      </c>
      <c r="D16" s="3" t="s">
        <v>22</v>
      </c>
      <c r="E16" s="3" t="s">
        <v>43</v>
      </c>
    </row>
    <row r="17">
      <c r="A17" s="4" t="s">
        <v>44</v>
      </c>
      <c r="B17" s="7">
        <v>0.5</v>
      </c>
      <c r="C17" s="4" t="s">
        <v>35</v>
      </c>
      <c r="D17" s="4" t="s">
        <v>22</v>
      </c>
      <c r="E17" s="4" t="s">
        <v>45</v>
      </c>
    </row>
    <row r="19">
      <c r="A19" s="5" t="s">
        <v>46</v>
      </c>
    </row>
    <row r="20">
      <c r="A20" s="3" t="s">
        <v>47</v>
      </c>
      <c r="B20" s="3" t="s">
        <v>48</v>
      </c>
      <c r="C20" s="3" t="s">
        <v>49</v>
      </c>
      <c r="D20" s="3" t="s">
        <v>22</v>
      </c>
      <c r="E20" s="3" t="s">
        <v>50</v>
      </c>
    </row>
    <row r="21" ht="15.75" customHeight="1">
      <c r="A21" s="4" t="s">
        <v>51</v>
      </c>
      <c r="B21" s="4" t="s">
        <v>52</v>
      </c>
      <c r="C21" s="4" t="s">
        <v>21</v>
      </c>
      <c r="D21" s="4" t="s">
        <v>22</v>
      </c>
      <c r="E21" s="4" t="s">
        <v>53</v>
      </c>
    </row>
    <row r="22" ht="15.75" customHeight="1">
      <c r="A22" s="3" t="s">
        <v>54</v>
      </c>
      <c r="B22" s="3">
        <v>1.0</v>
      </c>
      <c r="C22" s="3" t="s">
        <v>7</v>
      </c>
      <c r="D22" s="3" t="s">
        <v>55</v>
      </c>
      <c r="E22" s="3" t="s">
        <v>56</v>
      </c>
    </row>
    <row r="23" ht="15.75" customHeight="1">
      <c r="A23" s="4" t="s">
        <v>57</v>
      </c>
      <c r="B23" s="4" t="s">
        <v>58</v>
      </c>
      <c r="C23" s="4" t="s">
        <v>59</v>
      </c>
      <c r="D23" s="4" t="s">
        <v>55</v>
      </c>
      <c r="E23" s="4" t="s">
        <v>60</v>
      </c>
    </row>
    <row r="24" ht="15.75" customHeight="1"/>
    <row r="25" ht="15.75" customHeight="1">
      <c r="A25" s="5" t="s">
        <v>61</v>
      </c>
    </row>
    <row r="26" ht="15.75" customHeight="1">
      <c r="A26" s="3" t="s">
        <v>62</v>
      </c>
      <c r="B26" s="3" t="s">
        <v>48</v>
      </c>
      <c r="C26" s="3" t="s">
        <v>49</v>
      </c>
      <c r="D26" s="3" t="s">
        <v>22</v>
      </c>
      <c r="E26" s="3" t="s">
        <v>63</v>
      </c>
    </row>
    <row r="27" ht="15.75" customHeight="1">
      <c r="A27" s="4" t="s">
        <v>64</v>
      </c>
      <c r="B27" s="7">
        <v>2.5</v>
      </c>
      <c r="C27" s="4" t="s">
        <v>35</v>
      </c>
      <c r="D27" s="4" t="s">
        <v>55</v>
      </c>
      <c r="E27" s="4" t="s">
        <v>65</v>
      </c>
    </row>
    <row r="28" ht="15.75" customHeight="1">
      <c r="A28" s="3" t="s">
        <v>66</v>
      </c>
      <c r="B28" s="3">
        <v>600.0</v>
      </c>
      <c r="C28" s="3" t="s">
        <v>67</v>
      </c>
      <c r="D28" s="3" t="s">
        <v>17</v>
      </c>
      <c r="E28" s="3" t="s">
        <v>68</v>
      </c>
    </row>
    <row r="29" ht="15.75" customHeight="1">
      <c r="A29" s="8" t="s">
        <v>69</v>
      </c>
      <c r="B29" s="8">
        <v>10.0</v>
      </c>
      <c r="C29" s="8" t="s">
        <v>35</v>
      </c>
      <c r="D29" s="8" t="s">
        <v>22</v>
      </c>
      <c r="E29" s="8" t="s">
        <v>70</v>
      </c>
    </row>
    <row r="30" ht="15.75" customHeight="1">
      <c r="A30" s="9" t="s">
        <v>71</v>
      </c>
      <c r="B30" s="9">
        <v>5000.0</v>
      </c>
      <c r="C30" s="9" t="s">
        <v>7</v>
      </c>
      <c r="D30" s="9" t="s">
        <v>22</v>
      </c>
      <c r="E30" s="9" t="s">
        <v>72</v>
      </c>
    </row>
    <row r="31" ht="15.75" customHeight="1"/>
    <row r="32" ht="15.75" customHeight="1">
      <c r="A32" s="5" t="s">
        <v>73</v>
      </c>
    </row>
    <row r="33" ht="15.75" customHeight="1">
      <c r="A33" s="4" t="s">
        <v>74</v>
      </c>
      <c r="B33" s="4" t="s">
        <v>75</v>
      </c>
      <c r="C33" s="4" t="s">
        <v>21</v>
      </c>
      <c r="D33" s="4" t="s">
        <v>22</v>
      </c>
      <c r="E33" s="4" t="s">
        <v>76</v>
      </c>
    </row>
    <row r="34" ht="15.75" customHeight="1">
      <c r="A34" s="3" t="s">
        <v>77</v>
      </c>
      <c r="B34" s="10">
        <v>10.0</v>
      </c>
      <c r="C34" s="3" t="s">
        <v>78</v>
      </c>
      <c r="D34" s="3" t="s">
        <v>55</v>
      </c>
      <c r="E34" s="3" t="s">
        <v>79</v>
      </c>
    </row>
    <row r="35" ht="15.75" customHeight="1">
      <c r="A35" s="4" t="s">
        <v>80</v>
      </c>
      <c r="B35" s="11">
        <v>10.0</v>
      </c>
      <c r="C35" s="4" t="s">
        <v>81</v>
      </c>
      <c r="D35" s="4" t="s">
        <v>55</v>
      </c>
      <c r="E35" s="4" t="s">
        <v>82</v>
      </c>
    </row>
    <row r="36" ht="15.75" customHeight="1">
      <c r="A36" s="3" t="s">
        <v>83</v>
      </c>
      <c r="B36" s="10">
        <v>5.0</v>
      </c>
      <c r="C36" s="3" t="s">
        <v>35</v>
      </c>
      <c r="D36" s="3" t="s">
        <v>55</v>
      </c>
      <c r="E36" s="3" t="s">
        <v>84</v>
      </c>
    </row>
    <row r="37" ht="15.75" customHeight="1"/>
    <row r="38" ht="15.75" customHeight="1">
      <c r="A38" s="5" t="s">
        <v>85</v>
      </c>
    </row>
    <row r="39" ht="15.75" customHeight="1">
      <c r="A39" s="4" t="s">
        <v>86</v>
      </c>
      <c r="B39" s="4" t="s">
        <v>48</v>
      </c>
      <c r="C39" s="4" t="s">
        <v>49</v>
      </c>
      <c r="D39" s="4" t="s">
        <v>22</v>
      </c>
      <c r="E39" s="4" t="s">
        <v>87</v>
      </c>
    </row>
    <row r="40" ht="15.75" customHeight="1">
      <c r="A40" s="3" t="s">
        <v>88</v>
      </c>
      <c r="B40" s="6">
        <v>1.0</v>
      </c>
      <c r="C40" s="3" t="s">
        <v>89</v>
      </c>
      <c r="D40" s="3" t="s">
        <v>55</v>
      </c>
      <c r="E40" s="3" t="s">
        <v>90</v>
      </c>
    </row>
    <row r="41" ht="15.75" customHeight="1">
      <c r="A41" s="4" t="s">
        <v>91</v>
      </c>
      <c r="B41" s="4" t="s">
        <v>48</v>
      </c>
      <c r="C41" s="4" t="s">
        <v>49</v>
      </c>
      <c r="D41" s="4" t="s">
        <v>17</v>
      </c>
      <c r="E41" s="4" t="s">
        <v>92</v>
      </c>
    </row>
    <row r="42" ht="15.75" customHeight="1">
      <c r="A42" s="3" t="s">
        <v>93</v>
      </c>
      <c r="B42" s="3" t="s">
        <v>94</v>
      </c>
      <c r="C42" s="3" t="s">
        <v>49</v>
      </c>
      <c r="D42" s="3" t="s">
        <v>22</v>
      </c>
      <c r="E42" s="3" t="s">
        <v>95</v>
      </c>
    </row>
    <row r="43" ht="15.75" customHeight="1"/>
    <row r="44" ht="15.75" customHeight="1">
      <c r="A44" s="5" t="s">
        <v>96</v>
      </c>
    </row>
    <row r="45" ht="15.75" customHeight="1">
      <c r="A45" s="4" t="s">
        <v>97</v>
      </c>
      <c r="B45" s="7">
        <v>0.15</v>
      </c>
      <c r="C45" s="4" t="s">
        <v>98</v>
      </c>
      <c r="D45" s="4" t="s">
        <v>55</v>
      </c>
      <c r="E45" s="4" t="s">
        <v>99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7.43"/>
    <col customWidth="1" min="3" max="3" width="15.0"/>
    <col customWidth="1" min="4" max="4" width="18.0"/>
    <col customWidth="1" min="5" max="5" width="50.29"/>
    <col customWidth="1" min="6" max="26" width="8.71"/>
  </cols>
  <sheetData>
    <row r="1">
      <c r="A1" s="1" t="s">
        <v>100</v>
      </c>
    </row>
    <row r="3">
      <c r="A3" s="2" t="s">
        <v>101</v>
      </c>
      <c r="B3" s="2" t="s">
        <v>102</v>
      </c>
      <c r="C3" s="2" t="s">
        <v>103</v>
      </c>
      <c r="D3" s="2" t="s">
        <v>3</v>
      </c>
      <c r="E3" s="2" t="s">
        <v>104</v>
      </c>
    </row>
    <row r="4">
      <c r="A4" s="3" t="s">
        <v>105</v>
      </c>
      <c r="B4" s="3" t="s">
        <v>32</v>
      </c>
      <c r="C4" s="12" t="s">
        <v>106</v>
      </c>
      <c r="D4" s="3" t="s">
        <v>107</v>
      </c>
      <c r="E4" s="13" t="s">
        <v>108</v>
      </c>
    </row>
    <row r="5">
      <c r="A5" s="4" t="s">
        <v>105</v>
      </c>
      <c r="B5" s="4" t="s">
        <v>109</v>
      </c>
      <c r="C5" s="14" t="s">
        <v>110</v>
      </c>
      <c r="D5" s="4" t="s">
        <v>111</v>
      </c>
      <c r="E5" s="15" t="s">
        <v>112</v>
      </c>
    </row>
    <row r="6">
      <c r="A6" s="3" t="s">
        <v>113</v>
      </c>
      <c r="B6" s="3" t="s">
        <v>52</v>
      </c>
      <c r="C6" s="12" t="s">
        <v>114</v>
      </c>
      <c r="D6" s="3" t="s">
        <v>115</v>
      </c>
      <c r="E6" s="13" t="s">
        <v>116</v>
      </c>
    </row>
    <row r="7">
      <c r="A7" s="4" t="s">
        <v>117</v>
      </c>
      <c r="B7" s="4" t="s">
        <v>118</v>
      </c>
      <c r="C7" s="14" t="s">
        <v>119</v>
      </c>
      <c r="D7" s="4" t="s">
        <v>120</v>
      </c>
      <c r="E7" s="15" t="s">
        <v>121</v>
      </c>
    </row>
    <row r="8">
      <c r="A8" s="3" t="s">
        <v>117</v>
      </c>
      <c r="B8" s="3" t="s">
        <v>122</v>
      </c>
      <c r="C8" s="12" t="s">
        <v>123</v>
      </c>
      <c r="D8" s="3" t="s">
        <v>124</v>
      </c>
      <c r="E8" s="13" t="s">
        <v>125</v>
      </c>
    </row>
    <row r="9">
      <c r="A9" s="4" t="s">
        <v>126</v>
      </c>
      <c r="B9" s="4" t="s">
        <v>127</v>
      </c>
      <c r="C9" s="14" t="s">
        <v>128</v>
      </c>
      <c r="D9" s="4" t="s">
        <v>129</v>
      </c>
      <c r="E9" s="4" t="s">
        <v>130</v>
      </c>
    </row>
    <row r="10">
      <c r="A10" s="3" t="s">
        <v>126</v>
      </c>
      <c r="B10" s="3" t="s">
        <v>131</v>
      </c>
      <c r="C10" s="12" t="s">
        <v>132</v>
      </c>
      <c r="D10" s="3" t="s">
        <v>129</v>
      </c>
      <c r="E10" s="3" t="s">
        <v>130</v>
      </c>
    </row>
    <row r="11">
      <c r="A11" s="4" t="s">
        <v>126</v>
      </c>
      <c r="B11" s="4" t="s">
        <v>133</v>
      </c>
      <c r="C11" s="14" t="s">
        <v>134</v>
      </c>
      <c r="D11" s="4" t="s">
        <v>129</v>
      </c>
      <c r="E11" s="4" t="s">
        <v>130</v>
      </c>
    </row>
    <row r="12">
      <c r="A12" s="3" t="s">
        <v>126</v>
      </c>
      <c r="B12" s="3" t="s">
        <v>135</v>
      </c>
      <c r="C12" s="12" t="s">
        <v>136</v>
      </c>
      <c r="D12" s="3" t="s">
        <v>129</v>
      </c>
      <c r="E12" s="3" t="s">
        <v>130</v>
      </c>
    </row>
    <row r="13">
      <c r="A13" s="4" t="s">
        <v>137</v>
      </c>
      <c r="B13" s="4" t="s">
        <v>138</v>
      </c>
      <c r="C13" s="14" t="s">
        <v>139</v>
      </c>
      <c r="D13" s="4" t="s">
        <v>140</v>
      </c>
      <c r="E13" s="15" t="s">
        <v>141</v>
      </c>
    </row>
    <row r="14">
      <c r="A14" s="3" t="s">
        <v>137</v>
      </c>
      <c r="B14" s="3" t="s">
        <v>142</v>
      </c>
      <c r="C14" s="12" t="s">
        <v>143</v>
      </c>
      <c r="D14" s="3" t="s">
        <v>144</v>
      </c>
      <c r="E14" s="3" t="s">
        <v>141</v>
      </c>
    </row>
    <row r="15">
      <c r="A15" s="4" t="s">
        <v>137</v>
      </c>
      <c r="B15" s="4" t="s">
        <v>145</v>
      </c>
      <c r="C15" s="14" t="s">
        <v>139</v>
      </c>
      <c r="D15" s="4" t="s">
        <v>146</v>
      </c>
      <c r="E15" s="4" t="s">
        <v>141</v>
      </c>
    </row>
    <row r="16">
      <c r="A16" s="3" t="s">
        <v>147</v>
      </c>
      <c r="B16" s="3" t="s">
        <v>148</v>
      </c>
      <c r="C16" s="12" t="s">
        <v>149</v>
      </c>
      <c r="D16" s="3" t="s">
        <v>111</v>
      </c>
      <c r="E16" s="3" t="s">
        <v>150</v>
      </c>
    </row>
    <row r="17">
      <c r="A17" s="4" t="s">
        <v>151</v>
      </c>
      <c r="B17" s="4" t="s">
        <v>145</v>
      </c>
      <c r="C17" s="14" t="s">
        <v>152</v>
      </c>
      <c r="D17" s="4" t="s">
        <v>153</v>
      </c>
      <c r="E17" s="4" t="s">
        <v>154</v>
      </c>
    </row>
    <row r="18">
      <c r="A18" s="3" t="s">
        <v>155</v>
      </c>
      <c r="B18" s="3" t="s">
        <v>156</v>
      </c>
      <c r="C18" s="12" t="s">
        <v>157</v>
      </c>
      <c r="D18" s="3" t="s">
        <v>146</v>
      </c>
      <c r="E18" s="3" t="s">
        <v>158</v>
      </c>
    </row>
    <row r="19">
      <c r="A19" s="4" t="s">
        <v>155</v>
      </c>
      <c r="B19" s="4" t="s">
        <v>159</v>
      </c>
      <c r="C19" s="14" t="s">
        <v>160</v>
      </c>
      <c r="D19" s="4" t="s">
        <v>153</v>
      </c>
      <c r="E19" s="4" t="s">
        <v>158</v>
      </c>
    </row>
    <row r="20">
      <c r="A20" s="3" t="s">
        <v>161</v>
      </c>
      <c r="B20" s="3" t="s">
        <v>162</v>
      </c>
      <c r="C20" s="12" t="s">
        <v>163</v>
      </c>
      <c r="D20" s="3" t="s">
        <v>164</v>
      </c>
      <c r="E20" s="3" t="s">
        <v>165</v>
      </c>
    </row>
    <row r="21" ht="15.75" customHeight="1">
      <c r="A21" s="8" t="s">
        <v>166</v>
      </c>
      <c r="B21" s="8" t="s">
        <v>167</v>
      </c>
      <c r="C21" s="16">
        <v>0.023</v>
      </c>
      <c r="D21" s="4" t="s">
        <v>153</v>
      </c>
      <c r="E21" s="15" t="s">
        <v>168</v>
      </c>
    </row>
    <row r="22" ht="15.75" customHeight="1">
      <c r="A22" s="9" t="s">
        <v>166</v>
      </c>
      <c r="B22" s="9" t="s">
        <v>169</v>
      </c>
      <c r="C22" s="17">
        <v>0.05</v>
      </c>
      <c r="D22" s="9" t="s">
        <v>170</v>
      </c>
      <c r="E22" s="18" t="s">
        <v>171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4"/>
    <hyperlink r:id="rId2" ref="E5"/>
    <hyperlink r:id="rId3" ref="E6"/>
    <hyperlink r:id="rId4" ref="E7"/>
    <hyperlink r:id="rId5" ref="E8"/>
    <hyperlink r:id="rId6" ref="E13"/>
    <hyperlink r:id="rId7" ref="E21"/>
    <hyperlink r:id="rId8" ref="E22"/>
  </hyperlinks>
  <printOptions/>
  <pageMargins bottom="1.0" footer="0.0" header="0.0" left="0.75" right="0.75" top="1.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0.86"/>
    <col customWidth="1" min="3" max="3" width="13.14"/>
    <col customWidth="1" min="4" max="4" width="18.57"/>
    <col customWidth="1" min="5" max="5" width="28.86"/>
    <col customWidth="1" min="6" max="6" width="16.0"/>
    <col customWidth="1" min="7" max="7" width="10.86"/>
    <col customWidth="1" min="8" max="26" width="8.71"/>
  </cols>
  <sheetData>
    <row r="1">
      <c r="A1" s="1" t="s">
        <v>172</v>
      </c>
    </row>
    <row r="2">
      <c r="A2" s="19"/>
      <c r="B2" s="19"/>
      <c r="C2" s="19"/>
      <c r="D2" s="19"/>
      <c r="E2" s="19"/>
      <c r="F2" s="19"/>
    </row>
    <row r="3">
      <c r="A3" s="20" t="s">
        <v>173</v>
      </c>
      <c r="B3" s="20" t="s">
        <v>102</v>
      </c>
      <c r="C3" s="20" t="s">
        <v>174</v>
      </c>
      <c r="D3" s="20" t="s">
        <v>103</v>
      </c>
      <c r="E3" s="20" t="s">
        <v>175</v>
      </c>
      <c r="F3" s="20" t="s">
        <v>176</v>
      </c>
      <c r="G3" s="20" t="s">
        <v>177</v>
      </c>
    </row>
    <row r="4">
      <c r="A4" s="21" t="s">
        <v>85</v>
      </c>
      <c r="B4" s="22" t="s">
        <v>178</v>
      </c>
      <c r="C4" s="23" t="s">
        <v>179</v>
      </c>
      <c r="D4" s="22" t="s">
        <v>180</v>
      </c>
      <c r="E4" s="22" t="s">
        <v>181</v>
      </c>
      <c r="F4" s="24">
        <v>16.43</v>
      </c>
      <c r="G4" s="25">
        <f t="shared" ref="G4:G18" si="1">F4/SUM($F$4:$F$17)</f>
        <v>0.02403048054</v>
      </c>
    </row>
    <row r="5">
      <c r="A5" s="26" t="s">
        <v>85</v>
      </c>
      <c r="B5" s="27" t="s">
        <v>182</v>
      </c>
      <c r="C5" s="28" t="s">
        <v>179</v>
      </c>
      <c r="D5" s="27" t="s">
        <v>183</v>
      </c>
      <c r="E5" s="27" t="s">
        <v>184</v>
      </c>
      <c r="F5" s="29">
        <v>5.84</v>
      </c>
      <c r="G5" s="30">
        <f t="shared" si="1"/>
        <v>0.008541570684</v>
      </c>
    </row>
    <row r="6">
      <c r="A6" s="21" t="s">
        <v>185</v>
      </c>
      <c r="B6" s="22" t="s">
        <v>186</v>
      </c>
      <c r="C6" s="23" t="s">
        <v>179</v>
      </c>
      <c r="D6" s="22" t="s">
        <v>187</v>
      </c>
      <c r="E6" s="22" t="s">
        <v>188</v>
      </c>
      <c r="F6" s="24">
        <v>45.625</v>
      </c>
      <c r="G6" s="25">
        <f t="shared" si="1"/>
        <v>0.06673102097</v>
      </c>
    </row>
    <row r="7">
      <c r="A7" s="26" t="s">
        <v>189</v>
      </c>
      <c r="B7" s="27" t="s">
        <v>69</v>
      </c>
      <c r="C7" s="31" t="s">
        <v>190</v>
      </c>
      <c r="D7" s="32" t="s">
        <v>191</v>
      </c>
      <c r="E7" s="27" t="s">
        <v>192</v>
      </c>
      <c r="F7" s="29">
        <v>0.23</v>
      </c>
      <c r="G7" s="30">
        <f t="shared" si="1"/>
        <v>0.0003363974756</v>
      </c>
    </row>
    <row r="8">
      <c r="A8" s="26" t="s">
        <v>189</v>
      </c>
      <c r="B8" s="27" t="s">
        <v>71</v>
      </c>
      <c r="C8" s="31" t="s">
        <v>193</v>
      </c>
      <c r="D8" s="32" t="s">
        <v>194</v>
      </c>
      <c r="E8" s="27" t="s">
        <v>195</v>
      </c>
      <c r="F8" s="29">
        <v>0.25</v>
      </c>
      <c r="G8" s="30">
        <f t="shared" si="1"/>
        <v>0.00036564943</v>
      </c>
    </row>
    <row r="9">
      <c r="A9" s="26" t="s">
        <v>196</v>
      </c>
      <c r="B9" s="27" t="s">
        <v>197</v>
      </c>
      <c r="C9" s="28" t="s">
        <v>198</v>
      </c>
      <c r="D9" s="27" t="s">
        <v>199</v>
      </c>
      <c r="E9" s="27" t="s">
        <v>200</v>
      </c>
      <c r="F9" s="29">
        <v>7.5</v>
      </c>
      <c r="G9" s="30">
        <f t="shared" si="1"/>
        <v>0.0109694829</v>
      </c>
    </row>
    <row r="10">
      <c r="A10" s="26" t="s">
        <v>73</v>
      </c>
      <c r="B10" s="27" t="s">
        <v>201</v>
      </c>
      <c r="C10" s="28">
        <v>1.0</v>
      </c>
      <c r="D10" s="27" t="s">
        <v>202</v>
      </c>
      <c r="E10" s="27" t="s">
        <v>203</v>
      </c>
      <c r="F10" s="29">
        <v>5.0</v>
      </c>
      <c r="G10" s="30">
        <f t="shared" si="1"/>
        <v>0.007312988599</v>
      </c>
    </row>
    <row r="11">
      <c r="A11" s="26" t="s">
        <v>204</v>
      </c>
      <c r="B11" s="27" t="s">
        <v>205</v>
      </c>
      <c r="C11" s="28">
        <v>1.0</v>
      </c>
      <c r="D11" s="27" t="s">
        <v>206</v>
      </c>
      <c r="E11" s="27" t="s">
        <v>207</v>
      </c>
      <c r="F11" s="29">
        <v>10.0</v>
      </c>
      <c r="G11" s="30">
        <f t="shared" si="1"/>
        <v>0.0146259772</v>
      </c>
    </row>
    <row r="12">
      <c r="A12" s="26" t="s">
        <v>208</v>
      </c>
      <c r="B12" s="27" t="s">
        <v>209</v>
      </c>
      <c r="C12" s="28" t="s">
        <v>210</v>
      </c>
      <c r="D12" s="27" t="s">
        <v>211</v>
      </c>
      <c r="E12" s="27" t="s">
        <v>212</v>
      </c>
      <c r="F12" s="29">
        <v>1.2</v>
      </c>
      <c r="G12" s="30">
        <f t="shared" si="1"/>
        <v>0.001755117264</v>
      </c>
    </row>
    <row r="13">
      <c r="A13" s="21" t="s">
        <v>24</v>
      </c>
      <c r="B13" s="22" t="s">
        <v>213</v>
      </c>
      <c r="C13" s="23" t="s">
        <v>179</v>
      </c>
      <c r="D13" s="22" t="s">
        <v>214</v>
      </c>
      <c r="E13" s="22" t="s">
        <v>215</v>
      </c>
      <c r="F13" s="24">
        <v>29.55</v>
      </c>
      <c r="G13" s="25">
        <f t="shared" si="1"/>
        <v>0.04321976262</v>
      </c>
    </row>
    <row r="14">
      <c r="A14" s="26" t="s">
        <v>24</v>
      </c>
      <c r="B14" s="27" t="s">
        <v>216</v>
      </c>
      <c r="C14" s="28" t="s">
        <v>179</v>
      </c>
      <c r="D14" s="27" t="s">
        <v>217</v>
      </c>
      <c r="E14" s="27" t="s">
        <v>218</v>
      </c>
      <c r="F14" s="29">
        <v>6.49</v>
      </c>
      <c r="G14" s="30">
        <f t="shared" si="1"/>
        <v>0.009492259202</v>
      </c>
    </row>
    <row r="15">
      <c r="A15" s="21" t="s">
        <v>24</v>
      </c>
      <c r="B15" s="22" t="s">
        <v>219</v>
      </c>
      <c r="C15" s="23" t="s">
        <v>179</v>
      </c>
      <c r="D15" s="22" t="s">
        <v>220</v>
      </c>
      <c r="E15" s="22" t="s">
        <v>221</v>
      </c>
      <c r="F15" s="24">
        <v>14.78</v>
      </c>
      <c r="G15" s="25">
        <f t="shared" si="1"/>
        <v>0.0216171943</v>
      </c>
    </row>
    <row r="16">
      <c r="A16" s="26" t="s">
        <v>24</v>
      </c>
      <c r="B16" s="27" t="s">
        <v>222</v>
      </c>
      <c r="C16" s="28" t="s">
        <v>179</v>
      </c>
      <c r="D16" s="27" t="s">
        <v>223</v>
      </c>
      <c r="E16" s="27" t="s">
        <v>224</v>
      </c>
      <c r="F16" s="29">
        <v>3.25</v>
      </c>
      <c r="G16" s="30">
        <f t="shared" si="1"/>
        <v>0.004753442589</v>
      </c>
    </row>
    <row r="17">
      <c r="A17" s="33" t="s">
        <v>24</v>
      </c>
      <c r="B17" s="34" t="s">
        <v>225</v>
      </c>
      <c r="C17" s="35" t="s">
        <v>179</v>
      </c>
      <c r="D17" s="34" t="s">
        <v>226</v>
      </c>
      <c r="E17" s="34" t="s">
        <v>227</v>
      </c>
      <c r="F17" s="36">
        <v>537.57</v>
      </c>
      <c r="G17" s="37">
        <f t="shared" si="1"/>
        <v>0.7862486562</v>
      </c>
    </row>
    <row r="18">
      <c r="A18" s="38" t="s">
        <v>228</v>
      </c>
      <c r="B18" s="39"/>
      <c r="C18" s="40"/>
      <c r="D18" s="39"/>
      <c r="E18" s="39"/>
      <c r="F18" s="41">
        <f>SUM(F4:F17)</f>
        <v>683.715</v>
      </c>
      <c r="G18" s="42">
        <f t="shared" si="1"/>
        <v>1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19"/>
      <c r="B19" s="19"/>
      <c r="C19" s="19"/>
      <c r="D19" s="19"/>
      <c r="E19" s="44"/>
      <c r="F19" s="45"/>
    </row>
    <row r="20">
      <c r="A20" s="19"/>
      <c r="B20" s="19"/>
      <c r="C20" s="19"/>
      <c r="D20" s="19"/>
      <c r="E20" s="19"/>
      <c r="F20" s="19"/>
    </row>
    <row r="21">
      <c r="A21" s="19"/>
      <c r="B21" s="19"/>
      <c r="C21" s="19"/>
      <c r="D21" s="19"/>
      <c r="E21" s="19"/>
      <c r="F21" s="19"/>
    </row>
    <row r="23" ht="15.75" customHeight="1"/>
    <row r="24" ht="15.75" customHeight="1"/>
    <row r="25" ht="15.75" customHeight="1"/>
    <row r="26" ht="15.75" customHeight="1"/>
    <row r="27" ht="15.75" customHeight="1">
      <c r="A27" s="19"/>
      <c r="B27" s="19"/>
      <c r="C27" s="19"/>
      <c r="D27" s="19"/>
      <c r="E27" s="19"/>
      <c r="F27" s="19"/>
    </row>
    <row r="28" ht="15.75" customHeight="1">
      <c r="A28" s="19"/>
      <c r="B28" s="19"/>
      <c r="C28" s="19"/>
      <c r="D28" s="19"/>
      <c r="E28" s="19"/>
      <c r="F28" s="19"/>
    </row>
    <row r="29" ht="15.75" customHeight="1">
      <c r="A29" s="19"/>
      <c r="B29" s="19"/>
      <c r="C29" s="19"/>
      <c r="D29" s="19"/>
      <c r="E29" s="19"/>
      <c r="F29" s="1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8.0"/>
    <col customWidth="1" min="4" max="4" width="17.0"/>
    <col customWidth="1" min="5" max="5" width="14.29"/>
    <col customWidth="1" min="6" max="6" width="18.0"/>
    <col customWidth="1" min="7" max="7" width="14.0"/>
    <col customWidth="1" min="8" max="26" width="8.71"/>
  </cols>
  <sheetData>
    <row r="1">
      <c r="A1" s="1" t="s">
        <v>229</v>
      </c>
    </row>
    <row r="2">
      <c r="A2" s="46" t="s">
        <v>230</v>
      </c>
    </row>
    <row r="4">
      <c r="A4" s="47" t="s">
        <v>231</v>
      </c>
      <c r="B4" s="47" t="s">
        <v>232</v>
      </c>
      <c r="C4" s="47" t="s">
        <v>233</v>
      </c>
      <c r="D4" s="47" t="s">
        <v>234</v>
      </c>
      <c r="E4" s="47" t="s">
        <v>235</v>
      </c>
      <c r="F4" s="47" t="s">
        <v>236</v>
      </c>
      <c r="G4" s="47" t="s">
        <v>237</v>
      </c>
    </row>
    <row r="5">
      <c r="A5" s="48" t="s">
        <v>238</v>
      </c>
      <c r="B5" s="49" t="s">
        <v>52</v>
      </c>
      <c r="C5" s="49" t="s">
        <v>239</v>
      </c>
      <c r="D5" s="48" t="s">
        <v>226</v>
      </c>
      <c r="E5" s="50">
        <v>537.57</v>
      </c>
      <c r="F5" s="50">
        <v>537.57</v>
      </c>
      <c r="G5" s="51" t="s">
        <v>240</v>
      </c>
    </row>
    <row r="6">
      <c r="A6" s="48" t="s">
        <v>241</v>
      </c>
      <c r="B6" s="49" t="s">
        <v>242</v>
      </c>
      <c r="C6" s="49" t="s">
        <v>243</v>
      </c>
      <c r="D6" s="48" t="s">
        <v>244</v>
      </c>
      <c r="E6" s="52">
        <v>0.0</v>
      </c>
      <c r="F6" s="50">
        <v>73.8</v>
      </c>
      <c r="G6" s="52">
        <v>463.77</v>
      </c>
    </row>
    <row r="7">
      <c r="A7" s="48" t="s">
        <v>245</v>
      </c>
      <c r="B7" s="49" t="s">
        <v>242</v>
      </c>
      <c r="C7" s="49" t="s">
        <v>246</v>
      </c>
      <c r="D7" s="48" t="s">
        <v>247</v>
      </c>
      <c r="E7" s="52">
        <v>0.0</v>
      </c>
      <c r="F7" s="50">
        <v>101.25</v>
      </c>
      <c r="G7" s="52">
        <v>436.32</v>
      </c>
    </row>
    <row r="8">
      <c r="A8" s="48" t="s">
        <v>248</v>
      </c>
      <c r="B8" s="49" t="s">
        <v>249</v>
      </c>
      <c r="C8" s="49" t="s">
        <v>239</v>
      </c>
      <c r="D8" s="48" t="s">
        <v>250</v>
      </c>
      <c r="E8" s="50">
        <v>109.5</v>
      </c>
      <c r="F8" s="50">
        <v>109.5</v>
      </c>
      <c r="G8" s="52">
        <v>428.07</v>
      </c>
    </row>
    <row r="11">
      <c r="A11" s="53"/>
    </row>
    <row r="12">
      <c r="A12" s="54"/>
    </row>
    <row r="13">
      <c r="A13" s="5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2026-04-15T16:22:30Z</dcterms:created>
  <dc:creator>openpyxl</dc:creator>
</cp:coreProperties>
</file>